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Sheet1!$A$1:$V$333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<sst xmlns="http://schemas.openxmlformats.org/spreadsheetml/2006/main" count="2345" uniqueCount="948">
  <si>
    <t>node</t>
  </si>
  <si>
    <t>typecode</t>
  </si>
  <si>
    <t>name</t>
  </si>
  <si>
    <t>x</t>
  </si>
  <si>
    <t>y</t>
  </si>
  <si>
    <t>x_1</t>
  </si>
  <si>
    <t>y_1</t>
  </si>
  <si>
    <t>x_2</t>
  </si>
  <si>
    <t>y_2</t>
  </si>
  <si>
    <t>congestion_value</t>
  </si>
  <si>
    <t>poi</t>
  </si>
  <si>
    <t>congestion</t>
  </si>
  <si>
    <t>index</t>
  </si>
  <si>
    <t>free-flow speed</t>
  </si>
  <si>
    <t>jam density</t>
  </si>
  <si>
    <t>id</t>
  </si>
  <si>
    <t>adname</t>
  </si>
  <si>
    <t>roadname</t>
  </si>
  <si>
    <t>roadname_origin</t>
  </si>
  <si>
    <t>桥隧类型</t>
  </si>
  <si>
    <t>road_class</t>
  </si>
  <si>
    <t>车道数</t>
  </si>
  <si>
    <t>仙霞西路跨线桥</t>
  </si>
  <si>
    <t>B0FFF9R20P</t>
  </si>
  <si>
    <t>长宁区</t>
  </si>
  <si>
    <t>仙霞西路</t>
  </si>
  <si>
    <t>梁桥</t>
  </si>
  <si>
    <t>次干道</t>
  </si>
  <si>
    <t>外环潮港桥</t>
  </si>
  <si>
    <t>BZAFQZ02H5</t>
  </si>
  <si>
    <t>外环高速</t>
  </si>
  <si>
    <t>快速路</t>
  </si>
  <si>
    <t>外环南渔浦桥</t>
  </si>
  <si>
    <t>BZAFQZ02H3</t>
  </si>
  <si>
    <t>金轮路朱家浜桥</t>
  </si>
  <si>
    <t>BZAFQZ02J1</t>
  </si>
  <si>
    <t>金轮路</t>
  </si>
  <si>
    <t>支路</t>
  </si>
  <si>
    <t>协和路周家浜桥</t>
  </si>
  <si>
    <t>BZAFQZ02G9</t>
  </si>
  <si>
    <t>协和路</t>
  </si>
  <si>
    <t>福泉路周家浜桥</t>
  </si>
  <si>
    <t>BZAFQZ02IU</t>
  </si>
  <si>
    <t>福泉路</t>
  </si>
  <si>
    <t>福泉北路朱家浜桥</t>
  </si>
  <si>
    <t>BZAFQZ02G8</t>
  </si>
  <si>
    <t>福泉北路</t>
  </si>
  <si>
    <t>检疫桥</t>
  </si>
  <si>
    <t>BZAFQZ02G7</t>
  </si>
  <si>
    <t>金浜路</t>
  </si>
  <si>
    <t>淞虹路周家浜桥</t>
  </si>
  <si>
    <t>BZAFQZ02GB</t>
  </si>
  <si>
    <t>淞虹路</t>
  </si>
  <si>
    <t>陆家浜桥</t>
  </si>
  <si>
    <t>BZAFQZ02FP</t>
  </si>
  <si>
    <t>潮泾港桥</t>
  </si>
  <si>
    <t>BZAFQZ02HX</t>
  </si>
  <si>
    <t>闵行区</t>
  </si>
  <si>
    <t>虹井路</t>
  </si>
  <si>
    <t>新渔港桥</t>
  </si>
  <si>
    <t>BZAFQZ02GA</t>
  </si>
  <si>
    <t>新泾港桥</t>
  </si>
  <si>
    <t>BZAFQZ02HE</t>
  </si>
  <si>
    <t>延安西路</t>
  </si>
  <si>
    <t>主干道</t>
  </si>
  <si>
    <t>淀浦河桥</t>
  </si>
  <si>
    <t>B0FFGQB418</t>
  </si>
  <si>
    <t>虹莘路</t>
  </si>
  <si>
    <t>北翟路地道</t>
  </si>
  <si>
    <t>B0G23HBZYS</t>
  </si>
  <si>
    <t>隧道</t>
  </si>
  <si>
    <t>金汇路桥</t>
  </si>
  <si>
    <t>BZAFQZ02IS</t>
  </si>
  <si>
    <t>金汇路</t>
  </si>
  <si>
    <t>龙茗路桥</t>
  </si>
  <si>
    <t>B0FFGQ9O06</t>
  </si>
  <si>
    <t>龙茗路</t>
  </si>
  <si>
    <t>野奴泾桥</t>
  </si>
  <si>
    <t>BZAFQZ02GR</t>
  </si>
  <si>
    <t>剑河路</t>
  </si>
  <si>
    <t>金汇路蒲汇塘桥</t>
  </si>
  <si>
    <t>BZAFQZ02II</t>
  </si>
  <si>
    <t>剑河路新泾港桥</t>
  </si>
  <si>
    <t>BZAFQZ02FB</t>
  </si>
  <si>
    <t>龙茗路淀浦河桥</t>
  </si>
  <si>
    <t>B0IA316C2Q</t>
  </si>
  <si>
    <t>剑河路新渔浦桥</t>
  </si>
  <si>
    <t>BZAFQZ02HC</t>
  </si>
  <si>
    <t>北翟高架路</t>
  </si>
  <si>
    <t>B0FFLGRDMG</t>
  </si>
  <si>
    <t>仙霞路桥</t>
  </si>
  <si>
    <t>BZAFQZ02HW</t>
  </si>
  <si>
    <t>莘庄立交</t>
  </si>
  <si>
    <t>B0FFFAAF3F</t>
  </si>
  <si>
    <t>沪闵路</t>
  </si>
  <si>
    <t>立交桥</t>
  </si>
  <si>
    <t>南新泾港桥</t>
  </si>
  <si>
    <t>B00155PUGZ</t>
  </si>
  <si>
    <t>田林路</t>
  </si>
  <si>
    <t>B0HDLZVUHH</t>
  </si>
  <si>
    <t>平吉路</t>
  </si>
  <si>
    <t>外浜桥</t>
  </si>
  <si>
    <t>BZAFQZ02GJ</t>
  </si>
  <si>
    <t>普陀区</t>
  </si>
  <si>
    <t>祁连山南路</t>
  </si>
  <si>
    <t>泉口路新泾港桥</t>
  </si>
  <si>
    <t>BZAFQZ02HU</t>
  </si>
  <si>
    <t>泉口路</t>
  </si>
  <si>
    <t>新渔路新泾港桥</t>
  </si>
  <si>
    <t>BZAFQZ02HV</t>
  </si>
  <si>
    <t>新渔路</t>
  </si>
  <si>
    <t>沪闵路淀浦河桥</t>
  </si>
  <si>
    <t>B0FFGDRSWX</t>
  </si>
  <si>
    <t>天山西路桥</t>
  </si>
  <si>
    <t>BZAFQZ02HM</t>
  </si>
  <si>
    <t>天山西路</t>
  </si>
  <si>
    <t>北翟路一号桥</t>
  </si>
  <si>
    <t>BZAFQZ02F7</t>
  </si>
  <si>
    <t>北翟路</t>
  </si>
  <si>
    <t>云岭西路桥</t>
  </si>
  <si>
    <t>BZAFQZ02GH</t>
  </si>
  <si>
    <t>云岭西路</t>
  </si>
  <si>
    <t>真北路桥</t>
  </si>
  <si>
    <t>B00155P40S</t>
  </si>
  <si>
    <t>真北路</t>
  </si>
  <si>
    <t>仙霞路地道</t>
  </si>
  <si>
    <t>B0FFF9ZREI</t>
  </si>
  <si>
    <t>中环路</t>
  </si>
  <si>
    <t>漕河泾港桥</t>
  </si>
  <si>
    <t>B0FFGQ9ROD</t>
  </si>
  <si>
    <t>莲花路</t>
  </si>
  <si>
    <t>常和路桥</t>
  </si>
  <si>
    <t>BZAGQZ01G8</t>
  </si>
  <si>
    <t>常和路</t>
  </si>
  <si>
    <t>B0FFH02F5C</t>
  </si>
  <si>
    <t>吴中路</t>
  </si>
  <si>
    <t>云岭东路木渎港桥</t>
  </si>
  <si>
    <t>B00155P53V</t>
  </si>
  <si>
    <t>云岭东路</t>
  </si>
  <si>
    <t>同普路木渎港桥</t>
  </si>
  <si>
    <t>BZAFR0025R</t>
  </si>
  <si>
    <t>同普路</t>
  </si>
  <si>
    <t>莲花路淀浦河桥</t>
  </si>
  <si>
    <t>B00155PUH2</t>
  </si>
  <si>
    <t>莲花南路</t>
  </si>
  <si>
    <t>真光路桥</t>
  </si>
  <si>
    <t>BZAFQZ02I0</t>
  </si>
  <si>
    <t>真光路</t>
  </si>
  <si>
    <t>金沙江路地道</t>
  </si>
  <si>
    <t>B0FFF9ZRHN</t>
  </si>
  <si>
    <t>吴中路地道</t>
  </si>
  <si>
    <t>B0FFF9ZRIY</t>
  </si>
  <si>
    <t>莲花路立交桥</t>
  </si>
  <si>
    <t>BZAER0011U</t>
  </si>
  <si>
    <t>梅陇西路</t>
  </si>
  <si>
    <t>宜山路地道</t>
  </si>
  <si>
    <t>B0FFF9ZRJ0</t>
  </si>
  <si>
    <t>徐汇区</t>
  </si>
  <si>
    <t>泸定路桥</t>
  </si>
  <si>
    <t>B0FFF9R3JD</t>
  </si>
  <si>
    <t>泸定路</t>
  </si>
  <si>
    <t>田林路地道</t>
  </si>
  <si>
    <t>B0IA3YO0QJ</t>
  </si>
  <si>
    <t>丰翔路二号桥</t>
  </si>
  <si>
    <t>B0FFFA9QVL</t>
  </si>
  <si>
    <t>宝山区</t>
  </si>
  <si>
    <t>丰翔路</t>
  </si>
  <si>
    <t>金沙江路桥</t>
  </si>
  <si>
    <t>B0FFGQ4XPT</t>
  </si>
  <si>
    <t>金沙江路</t>
  </si>
  <si>
    <t>漕宝路地道</t>
  </si>
  <si>
    <t>B0FFF9ZRK3</t>
  </si>
  <si>
    <t>虹梅路七号桥</t>
  </si>
  <si>
    <t>B0FFGQ6FU3</t>
  </si>
  <si>
    <t>虹梅路</t>
  </si>
  <si>
    <t>上澳塘港桥</t>
  </si>
  <si>
    <t>BZAFR00216</t>
  </si>
  <si>
    <t>红松东路</t>
  </si>
  <si>
    <t>北横通道-泸定路出入口</t>
  </si>
  <si>
    <t>BZAFR002Q6</t>
  </si>
  <si>
    <t>北横通道东线隧道</t>
  </si>
  <si>
    <t>北横通道</t>
  </si>
  <si>
    <t>上岙塘桥</t>
  </si>
  <si>
    <t>B0FFH02G0P</t>
  </si>
  <si>
    <t>虹梅路立交桥</t>
  </si>
  <si>
    <t>B0FFFAA2ML</t>
  </si>
  <si>
    <t>桂果路桥</t>
  </si>
  <si>
    <t>BZAER001AK</t>
  </si>
  <si>
    <t>桂江路</t>
  </si>
  <si>
    <t>桂平路桥</t>
  </si>
  <si>
    <t>B0FFGQ79MR</t>
  </si>
  <si>
    <t>桂平路</t>
  </si>
  <si>
    <t>虹梅路九号桥</t>
  </si>
  <si>
    <t>B0FFGQ762I</t>
  </si>
  <si>
    <t>虹梅南路</t>
  </si>
  <si>
    <t>田林路桥</t>
  </si>
  <si>
    <t>BZAFR0021X</t>
  </si>
  <si>
    <t>漕宝路三号桥</t>
  </si>
  <si>
    <t>B0FFGQ72FW</t>
  </si>
  <si>
    <t>漕宝路</t>
  </si>
  <si>
    <t>西上澳塘港桥</t>
  </si>
  <si>
    <t>B0FFH02EZV</t>
  </si>
  <si>
    <t>宜山路</t>
  </si>
  <si>
    <t>梅川路桥</t>
  </si>
  <si>
    <t>B00155P532</t>
  </si>
  <si>
    <t>梅川路</t>
  </si>
  <si>
    <t>钦江路桥</t>
  </si>
  <si>
    <t>B0FFGQ96Y9</t>
  </si>
  <si>
    <t>钦江路</t>
  </si>
  <si>
    <t>桂平支路桥</t>
  </si>
  <si>
    <t>B0FFH02DGZ</t>
  </si>
  <si>
    <t>桂平支路</t>
  </si>
  <si>
    <t>真北路立交桥</t>
  </si>
  <si>
    <t>B0FFFA9ZDK</t>
  </si>
  <si>
    <t>曹安路辅路</t>
  </si>
  <si>
    <t>中江路桥</t>
  </si>
  <si>
    <t>B0FFGQ8UWR</t>
  </si>
  <si>
    <t>中江路</t>
  </si>
  <si>
    <t>百花街桥</t>
  </si>
  <si>
    <t>B0FFGQAR8Y</t>
  </si>
  <si>
    <t>百花街</t>
  </si>
  <si>
    <t>祁连山路立交桥</t>
  </si>
  <si>
    <t>B0FFGCI0MD</t>
  </si>
  <si>
    <t>S5沪嘉高速</t>
  </si>
  <si>
    <t>诸家浜桥</t>
  </si>
  <si>
    <t>B0FFGQ7K1Z</t>
  </si>
  <si>
    <t>梅浦桥</t>
  </si>
  <si>
    <t>B00155P884</t>
  </si>
  <si>
    <t>虹漕南路桥</t>
  </si>
  <si>
    <t>B0FFGQ9EIW</t>
  </si>
  <si>
    <t>虹漕南路</t>
  </si>
  <si>
    <t>朝阳河桥</t>
  </si>
  <si>
    <t>BZAFR001XG</t>
  </si>
  <si>
    <t>武宁路</t>
  </si>
  <si>
    <t>西牌楼桥</t>
  </si>
  <si>
    <t>B0FFGQ72G7</t>
  </si>
  <si>
    <t>怒江路桥</t>
  </si>
  <si>
    <t>B0FFGQ4Z1E</t>
  </si>
  <si>
    <t>怒江路</t>
  </si>
  <si>
    <t>红祁河桥</t>
  </si>
  <si>
    <t>BZAGR001SN</t>
  </si>
  <si>
    <t>祁安路</t>
  </si>
  <si>
    <t>华泾港桥</t>
  </si>
  <si>
    <t>BZAER001F1</t>
  </si>
  <si>
    <t>莘朱路</t>
  </si>
  <si>
    <t>古浪路张泾河桥</t>
  </si>
  <si>
    <t>B0FFGQA5OV</t>
  </si>
  <si>
    <t>古浪路</t>
  </si>
  <si>
    <t>桂林西街桥</t>
  </si>
  <si>
    <t>B0H1HRUH5U</t>
  </si>
  <si>
    <t>桂林西街</t>
  </si>
  <si>
    <t>浦北路桥</t>
  </si>
  <si>
    <t>BZAER0013T</t>
  </si>
  <si>
    <t>浦北路</t>
  </si>
  <si>
    <t>新河南浜桥</t>
  </si>
  <si>
    <t>BZAGR001SO</t>
  </si>
  <si>
    <t>梅岭北路桥</t>
  </si>
  <si>
    <t>B0FFGQA4LB</t>
  </si>
  <si>
    <t>梅岭北路</t>
  </si>
  <si>
    <t>蒲汇塘桥</t>
  </si>
  <si>
    <t>BZAFR00044</t>
  </si>
  <si>
    <t>桂林路</t>
  </si>
  <si>
    <t>钦州南路桥</t>
  </si>
  <si>
    <t>B0FFH02FJQ</t>
  </si>
  <si>
    <t>钦州南路</t>
  </si>
  <si>
    <t>桂林东街桥</t>
  </si>
  <si>
    <t>B0FFGQ563T</t>
  </si>
  <si>
    <t>桂林东街</t>
  </si>
  <si>
    <t>杨柳青路桥</t>
  </si>
  <si>
    <t>BZAFR0025Q</t>
  </si>
  <si>
    <t>杨柳青路</t>
  </si>
  <si>
    <t>冠生园路桥</t>
  </si>
  <si>
    <t>BZAER001FK</t>
  </si>
  <si>
    <t>冠生园路</t>
  </si>
  <si>
    <t>八字桥</t>
  </si>
  <si>
    <t>BZAGR001SS</t>
  </si>
  <si>
    <t>桃浦西路</t>
  </si>
  <si>
    <t>金光河桥</t>
  </si>
  <si>
    <t>B0FFGQ97JD</t>
  </si>
  <si>
    <t>连亮路</t>
  </si>
  <si>
    <t>武威东路桃浦河桥</t>
  </si>
  <si>
    <t>BZAGR001SR</t>
  </si>
  <si>
    <t>武威东路</t>
  </si>
  <si>
    <t>小宅浜桥</t>
  </si>
  <si>
    <t>BZAGR001SQ</t>
  </si>
  <si>
    <t>真大路1号桥</t>
  </si>
  <si>
    <t>B0FFGQ5KJM</t>
  </si>
  <si>
    <t>真大路</t>
  </si>
  <si>
    <t>五号桥</t>
  </si>
  <si>
    <t>B0FFGQ4W1Z</t>
  </si>
  <si>
    <t>祁连山路</t>
  </si>
  <si>
    <t>武宁路桃浦河桥</t>
  </si>
  <si>
    <t>BZAFR002GH</t>
  </si>
  <si>
    <t>桃浦桥</t>
  </si>
  <si>
    <t>B00155POGG</t>
  </si>
  <si>
    <t>真南路</t>
  </si>
  <si>
    <t>北石路桥</t>
  </si>
  <si>
    <t>BZAGR001TB</t>
  </si>
  <si>
    <t>北石路</t>
  </si>
  <si>
    <t>杨家桥</t>
  </si>
  <si>
    <t>B0FFGQ8QY8</t>
  </si>
  <si>
    <t>交通路</t>
  </si>
  <si>
    <t>祁连山路大桥</t>
  </si>
  <si>
    <t>B0GR6ZYGNX</t>
  </si>
  <si>
    <t>斜拉桥</t>
  </si>
  <si>
    <t>内环延安西路立交桥</t>
  </si>
  <si>
    <t>B0FFFAA6EX</t>
  </si>
  <si>
    <t>延安西路立交桥</t>
  </si>
  <si>
    <t>内环高架路</t>
  </si>
  <si>
    <t>顾陈路桥</t>
  </si>
  <si>
    <t>BZAHQZ012G</t>
  </si>
  <si>
    <t>顾陈路</t>
  </si>
  <si>
    <t>金皇庙桥</t>
  </si>
  <si>
    <t>B0FFGQ5J8R</t>
  </si>
  <si>
    <t>杏山路北桥</t>
  </si>
  <si>
    <t>B0FFGQAXNB</t>
  </si>
  <si>
    <t>杏山路</t>
  </si>
  <si>
    <t>铜川路桥</t>
  </si>
  <si>
    <t>B0FFH02G0J</t>
  </si>
  <si>
    <t>铜川路</t>
  </si>
  <si>
    <t>桐柏路桥</t>
  </si>
  <si>
    <t>B0FFGQ8P2Y</t>
  </si>
  <si>
    <t>桐柏路</t>
  </si>
  <si>
    <t>张家塘港桥</t>
  </si>
  <si>
    <t>B0FFI2QPS8</t>
  </si>
  <si>
    <t>老沪闵路</t>
  </si>
  <si>
    <t>兰溪路西桥</t>
  </si>
  <si>
    <t>B0FFGQ8TGS</t>
  </si>
  <si>
    <t>兰溪路</t>
  </si>
  <si>
    <t>武宁路地道</t>
  </si>
  <si>
    <t>B0IKLRULQO</t>
  </si>
  <si>
    <t>柳州路桥</t>
  </si>
  <si>
    <t>BZAER0014S</t>
  </si>
  <si>
    <t>柳州路</t>
  </si>
  <si>
    <t>花溪路桥</t>
  </si>
  <si>
    <t>B0FFGQ8JS2</t>
  </si>
  <si>
    <t>花溪路</t>
  </si>
  <si>
    <t>杏山路南桥</t>
  </si>
  <si>
    <t>B0FFGQ6Q9W</t>
  </si>
  <si>
    <t>周金桥</t>
  </si>
  <si>
    <t>BZAGR002DR</t>
  </si>
  <si>
    <t>红桥</t>
  </si>
  <si>
    <t>BZAFR000FG</t>
  </si>
  <si>
    <t>棠浦路</t>
  </si>
  <si>
    <t>枫桥</t>
  </si>
  <si>
    <t>BZAFR0021J</t>
  </si>
  <si>
    <t>枫桥路</t>
  </si>
  <si>
    <t>兰溪路东桥</t>
  </si>
  <si>
    <t>BZAFR0021H</t>
  </si>
  <si>
    <t>老沪闵路三号桥</t>
  </si>
  <si>
    <t>B0FFI2QNTX</t>
  </si>
  <si>
    <t>习勤路桥</t>
  </si>
  <si>
    <t>BZAFR0021Y</t>
  </si>
  <si>
    <t>习勤路</t>
  </si>
  <si>
    <t>凯旋路桥</t>
  </si>
  <si>
    <t>B0FFF9R3ZO</t>
  </si>
  <si>
    <t>凯旋路</t>
  </si>
  <si>
    <t>宜山路桥</t>
  </si>
  <si>
    <t>B0FFGQ942M</t>
  </si>
  <si>
    <t>供水桥</t>
  </si>
  <si>
    <t>BZAER0014T</t>
  </si>
  <si>
    <t>康健路桥</t>
  </si>
  <si>
    <t>BZAFR0021Z</t>
  </si>
  <si>
    <t>康健路</t>
  </si>
  <si>
    <t>漕宝路一号桥</t>
  </si>
  <si>
    <t>B0FFGQ6TDB</t>
  </si>
  <si>
    <t>浦汇塘桥</t>
  </si>
  <si>
    <t>BZAFR00221</t>
  </si>
  <si>
    <t>田林东路</t>
  </si>
  <si>
    <t>梨园桥</t>
  </si>
  <si>
    <t>BZAGR002BL</t>
  </si>
  <si>
    <t>真华南路</t>
  </si>
  <si>
    <t>横港桥</t>
  </si>
  <si>
    <t>BZAGR001ST</t>
  </si>
  <si>
    <t>真金路</t>
  </si>
  <si>
    <t>真华路立交</t>
  </si>
  <si>
    <t>B0FFJS2UCO</t>
  </si>
  <si>
    <t>真华路</t>
  </si>
  <si>
    <t>真华路地道</t>
  </si>
  <si>
    <t>B0HDSS6VDW</t>
  </si>
  <si>
    <t>长华路长桥</t>
  </si>
  <si>
    <t>B0FFF9R4ER</t>
  </si>
  <si>
    <t>长华路</t>
  </si>
  <si>
    <t>北横通道-江苏北路出入口</t>
  </si>
  <si>
    <t>BZAFR002Q7</t>
  </si>
  <si>
    <t>南陈路二号桥</t>
  </si>
  <si>
    <t>B0FFGQ7TTX</t>
  </si>
  <si>
    <t>南陈路</t>
  </si>
  <si>
    <t>小石桥</t>
  </si>
  <si>
    <t>B0FFGQ4OTB</t>
  </si>
  <si>
    <t>兆南路</t>
  </si>
  <si>
    <t>石泉路桥</t>
  </si>
  <si>
    <t>BZAFR0021L</t>
  </si>
  <si>
    <t>石泉路</t>
  </si>
  <si>
    <t>中宁路桥</t>
  </si>
  <si>
    <t>B0FFGQ6U2B</t>
  </si>
  <si>
    <t>中宁路</t>
  </si>
  <si>
    <t>富平路桥</t>
  </si>
  <si>
    <t>B0FFGQ5CN3</t>
  </si>
  <si>
    <t>富平路</t>
  </si>
  <si>
    <t>中环沪嘉立交桥</t>
  </si>
  <si>
    <t>B0GRVZTWB7</t>
  </si>
  <si>
    <t>大场浦桥</t>
  </si>
  <si>
    <t>B00155P27P</t>
  </si>
  <si>
    <t>富水路</t>
  </si>
  <si>
    <t>新村路桥</t>
  </si>
  <si>
    <t>B0FFGQ5KDL</t>
  </si>
  <si>
    <t>新村路</t>
  </si>
  <si>
    <t>三江路桥</t>
  </si>
  <si>
    <t>BZAFR00220</t>
  </si>
  <si>
    <t>三江路</t>
  </si>
  <si>
    <t>内环漕溪北路立交桥</t>
  </si>
  <si>
    <t>B0FFFAA6EZ</t>
  </si>
  <si>
    <t>漕溪路</t>
  </si>
  <si>
    <t>曹杨路桥</t>
  </si>
  <si>
    <t>B0FFF9R3JE</t>
  </si>
  <si>
    <t>江苏北路</t>
  </si>
  <si>
    <t>罗秀路桥</t>
  </si>
  <si>
    <t>B0FFGQ5WMD</t>
  </si>
  <si>
    <t>罗秀路</t>
  </si>
  <si>
    <t>平福路桥</t>
  </si>
  <si>
    <t>BZAER00150</t>
  </si>
  <si>
    <t>平福路</t>
  </si>
  <si>
    <t>兰田路真如港桥</t>
  </si>
  <si>
    <t>BZAFR0021K</t>
  </si>
  <si>
    <t>兰田路</t>
  </si>
  <si>
    <t>武宁路桥</t>
  </si>
  <si>
    <t>B0FFF9R3JF</t>
  </si>
  <si>
    <t>港口桥</t>
  </si>
  <si>
    <t>B0FFGQ8VZD</t>
  </si>
  <si>
    <t>龙吴路</t>
  </si>
  <si>
    <t>龙水西桥</t>
  </si>
  <si>
    <t>B0FFGQB62N</t>
  </si>
  <si>
    <t>凯旋南路</t>
  </si>
  <si>
    <t>龙浦桥</t>
  </si>
  <si>
    <t>B0FFGQ7156</t>
  </si>
  <si>
    <t>衡山路地道</t>
  </si>
  <si>
    <t>B0FFF9ZRHR</t>
  </si>
  <si>
    <t>漕溪北路</t>
  </si>
  <si>
    <t>塘桥</t>
  </si>
  <si>
    <t>B0IA3KAP7S</t>
  </si>
  <si>
    <t>沪太路</t>
  </si>
  <si>
    <t>岚皋路立交桥</t>
  </si>
  <si>
    <t>B0FFFA9Q0Q</t>
  </si>
  <si>
    <t>岚皋路</t>
  </si>
  <si>
    <t>场联路</t>
  </si>
  <si>
    <t>B0FFGQ9HU5</t>
  </si>
  <si>
    <t>喜泰路宏文桥</t>
  </si>
  <si>
    <t>B0FFGQAE2Q</t>
  </si>
  <si>
    <t>喜泰路</t>
  </si>
  <si>
    <t>大场立交桥</t>
  </si>
  <si>
    <t>B0FFFAA8AH</t>
  </si>
  <si>
    <t>上中路隧道</t>
  </si>
  <si>
    <t>B0FFF9ZRK0</t>
  </si>
  <si>
    <t>龙腾大道</t>
  </si>
  <si>
    <t>春申港桥</t>
  </si>
  <si>
    <t>B0FFI2QOG7</t>
  </si>
  <si>
    <t>沪太路八字桥</t>
  </si>
  <si>
    <t>BZAGR0019Y</t>
  </si>
  <si>
    <t>B0FFIW49JT</t>
  </si>
  <si>
    <t>机场河桥</t>
  </si>
  <si>
    <t>B0FFGQ5WF1</t>
  </si>
  <si>
    <t>沪太路辅路</t>
  </si>
  <si>
    <t>B0IA3AOZ0L</t>
  </si>
  <si>
    <t>崇明塘桥</t>
  </si>
  <si>
    <t>B0FFGQ54XJ</t>
  </si>
  <si>
    <t>盛联路</t>
  </si>
  <si>
    <t>镇坪路桥</t>
  </si>
  <si>
    <t>BY0001M4IK</t>
  </si>
  <si>
    <t>镇坪路</t>
  </si>
  <si>
    <t>鲍家桥</t>
  </si>
  <si>
    <t>B0FFGQA3RR</t>
  </si>
  <si>
    <t>静安区</t>
  </si>
  <si>
    <t>光新路桥</t>
  </si>
  <si>
    <t>B0FFGQAOYB</t>
  </si>
  <si>
    <t>光新路</t>
  </si>
  <si>
    <t>龙华通道桥</t>
  </si>
  <si>
    <t>B0FFGQ53OS</t>
  </si>
  <si>
    <t>龙华西路</t>
  </si>
  <si>
    <t>光新路铁路立交桥</t>
  </si>
  <si>
    <t>B0FFFAAEU9</t>
  </si>
  <si>
    <t>志丹路</t>
  </si>
  <si>
    <t>中山北路四号桥</t>
  </si>
  <si>
    <t>B0FFGQ6SO3</t>
  </si>
  <si>
    <t>中山北路</t>
  </si>
  <si>
    <t>徐浦大桥</t>
  </si>
  <si>
    <t>B0FFF9R3JK</t>
  </si>
  <si>
    <t>浦东新区</t>
  </si>
  <si>
    <t>江宁路桥</t>
  </si>
  <si>
    <t>B0FFHF5O9O</t>
  </si>
  <si>
    <t>光复西路</t>
  </si>
  <si>
    <t>宛平南路桥</t>
  </si>
  <si>
    <t>B0FFH02EBA</t>
  </si>
  <si>
    <t>宛平南路</t>
  </si>
  <si>
    <t>永和路桥</t>
  </si>
  <si>
    <t>BZAGR001SA</t>
  </si>
  <si>
    <t>永和路</t>
  </si>
  <si>
    <t>原平路桥</t>
  </si>
  <si>
    <t>BZAGR001RT</t>
  </si>
  <si>
    <t>原平路</t>
  </si>
  <si>
    <t>白遗桥</t>
  </si>
  <si>
    <t>B0FFGQ863I</t>
  </si>
  <si>
    <t>昌化路桥</t>
  </si>
  <si>
    <t>B0FFGQ7A7Z</t>
  </si>
  <si>
    <t>中潭路</t>
  </si>
  <si>
    <t>拱桥</t>
  </si>
  <si>
    <t>长寿路桥</t>
  </si>
  <si>
    <t>B0FFH02EA3</t>
  </si>
  <si>
    <t>长寿路</t>
  </si>
  <si>
    <t>中扬湖桥</t>
  </si>
  <si>
    <t>B00155POBB</t>
  </si>
  <si>
    <t>江场三路</t>
  </si>
  <si>
    <t>康宁路桥</t>
  </si>
  <si>
    <t>BZAGR0024T</t>
  </si>
  <si>
    <t>康宁路</t>
  </si>
  <si>
    <t>龙耀路隧道</t>
  </si>
  <si>
    <t>B00155R2SY</t>
  </si>
  <si>
    <t>大洋桥</t>
  </si>
  <si>
    <t>B0FFGQ6V8U</t>
  </si>
  <si>
    <t>北横通道-恒丰路出入口</t>
  </si>
  <si>
    <t>BZAFR002QG</t>
  </si>
  <si>
    <t>普济路桥</t>
  </si>
  <si>
    <t>BY0001M4OI</t>
  </si>
  <si>
    <t>普济路</t>
  </si>
  <si>
    <t>恒丰路立交桥</t>
  </si>
  <si>
    <t>B0FFGCIG1O</t>
  </si>
  <si>
    <t>恒丰路</t>
  </si>
  <si>
    <t>昌平路桥</t>
  </si>
  <si>
    <t>B0FFKUZ9VZ</t>
  </si>
  <si>
    <t>昌平路</t>
  </si>
  <si>
    <t>恒通路</t>
  </si>
  <si>
    <t>延长路桥</t>
  </si>
  <si>
    <t>B0FFG6DOEL</t>
  </si>
  <si>
    <t>延长中路</t>
  </si>
  <si>
    <t>彭越浦桥</t>
  </si>
  <si>
    <t>B0FFGQAH7U</t>
  </si>
  <si>
    <t>耀龙路桥</t>
  </si>
  <si>
    <t>B00155PUHT</t>
  </si>
  <si>
    <t>耀龙路</t>
  </si>
  <si>
    <t>洛川路桥</t>
  </si>
  <si>
    <t>B0FFGQ7S5S</t>
  </si>
  <si>
    <t>洛川中路</t>
  </si>
  <si>
    <t>三泉路地道</t>
  </si>
  <si>
    <t>B0FFI6YRZC</t>
  </si>
  <si>
    <t>万荣路辅路</t>
  </si>
  <si>
    <t>打浦路隧道</t>
  </si>
  <si>
    <t>B0FFF9ZRIP</t>
  </si>
  <si>
    <t>瑞宁路</t>
  </si>
  <si>
    <t>恒丰路桥</t>
  </si>
  <si>
    <t>B0FFK80CXH</t>
  </si>
  <si>
    <t>谈家桥</t>
  </si>
  <si>
    <t>B0FFGQ8K2K</t>
  </si>
  <si>
    <t>谈家桥路</t>
  </si>
  <si>
    <t>川杨河桥</t>
  </si>
  <si>
    <t>B0FFF9R3JI</t>
  </si>
  <si>
    <t>南北高架路</t>
  </si>
  <si>
    <t>天目中路立交桥</t>
  </si>
  <si>
    <t>B0FFFAA7A3</t>
  </si>
  <si>
    <t>中环共和新路立交桥</t>
  </si>
  <si>
    <t>B0FFFAAEIQ</t>
  </si>
  <si>
    <t>共和新路</t>
  </si>
  <si>
    <t>彭浦立交</t>
  </si>
  <si>
    <t>B00156EWSN</t>
  </si>
  <si>
    <t>延安东路立交桥</t>
  </si>
  <si>
    <t>B0FFFAA86M</t>
  </si>
  <si>
    <t>黄浦区</t>
  </si>
  <si>
    <t>成都北路</t>
  </si>
  <si>
    <t>新闸桥</t>
  </si>
  <si>
    <t>BY0001M4K0</t>
  </si>
  <si>
    <t>大统路</t>
  </si>
  <si>
    <t>鲁班路立交</t>
  </si>
  <si>
    <t>B0FFFAA0VE</t>
  </si>
  <si>
    <t>鲁班路</t>
  </si>
  <si>
    <t>内环共和新路立交桥</t>
  </si>
  <si>
    <t>B0FFFAA6EN</t>
  </si>
  <si>
    <t>卢浦大桥</t>
  </si>
  <si>
    <t>B0FFG44XME</t>
  </si>
  <si>
    <t>广中路桥</t>
  </si>
  <si>
    <t>B0FFGQ7R0J</t>
  </si>
  <si>
    <t>虹口区</t>
  </si>
  <si>
    <t>广中路</t>
  </si>
  <si>
    <t>西藏北路地道</t>
  </si>
  <si>
    <t>B0FFF9ZRDZ</t>
  </si>
  <si>
    <t>西藏北路</t>
  </si>
  <si>
    <t>西藏路桥</t>
  </si>
  <si>
    <t>B0FFGL11RX</t>
  </si>
  <si>
    <t>灵石路桥</t>
  </si>
  <si>
    <t>B0FFIOBYCP</t>
  </si>
  <si>
    <t>广灵四路</t>
  </si>
  <si>
    <t>株洲路桥</t>
  </si>
  <si>
    <t>BZAGR001VR</t>
  </si>
  <si>
    <t>株洲路</t>
  </si>
  <si>
    <t>北横通道-浙江北路出入口</t>
  </si>
  <si>
    <t>BZAFR002RO</t>
  </si>
  <si>
    <t>北横通道西线隧道</t>
  </si>
  <si>
    <t>走马塘桥</t>
  </si>
  <si>
    <t>B00155P23A</t>
  </si>
  <si>
    <t>平型关路</t>
  </si>
  <si>
    <t>浙江路桥</t>
  </si>
  <si>
    <t>B0FFH4K395</t>
  </si>
  <si>
    <t>浙江北路</t>
  </si>
  <si>
    <t>桁架桥</t>
  </si>
  <si>
    <t>上南路川杨河桥</t>
  </si>
  <si>
    <t>B0FFG6DOIP</t>
  </si>
  <si>
    <t>上南路</t>
  </si>
  <si>
    <t>B0FFH02FR0</t>
  </si>
  <si>
    <t>柳营路</t>
  </si>
  <si>
    <t>福建路桥</t>
  </si>
  <si>
    <t>B0G397QT42</t>
  </si>
  <si>
    <t>杨思桥</t>
  </si>
  <si>
    <t>B00155PUPU</t>
  </si>
  <si>
    <t>杨思路</t>
  </si>
  <si>
    <t>奎照路庐泾浦桥</t>
  </si>
  <si>
    <t>BZAGR001WY</t>
  </si>
  <si>
    <t>奎照路</t>
  </si>
  <si>
    <t>二号桥</t>
  </si>
  <si>
    <t>B0FFGQ7EMR</t>
  </si>
  <si>
    <t>场中路</t>
  </si>
  <si>
    <t>张贵桥</t>
  </si>
  <si>
    <t>BZAGR00155</t>
  </si>
  <si>
    <t>临汾路桥</t>
  </si>
  <si>
    <t>B0FFGQ799C</t>
  </si>
  <si>
    <t>临汾路</t>
  </si>
  <si>
    <t>青云路桥</t>
  </si>
  <si>
    <t>BZAGR001ZB</t>
  </si>
  <si>
    <t>青云路</t>
  </si>
  <si>
    <t>河南路桥</t>
  </si>
  <si>
    <t>B0H1HRSKRV</t>
  </si>
  <si>
    <t>汾西路桥</t>
  </si>
  <si>
    <t>B0FFM91Z9Q</t>
  </si>
  <si>
    <t>汾西路</t>
  </si>
  <si>
    <t>江杨南路立交桥</t>
  </si>
  <si>
    <t>B0FFFAA967</t>
  </si>
  <si>
    <t>西藏南路隧道</t>
  </si>
  <si>
    <t>B0FFI2PTF7</t>
  </si>
  <si>
    <t>高科西路</t>
  </si>
  <si>
    <t>复兴东路地道</t>
  </si>
  <si>
    <t>B0FFG6DPKR</t>
  </si>
  <si>
    <t>复兴东路辅路</t>
  </si>
  <si>
    <t>凉城路桥</t>
  </si>
  <si>
    <t>BZAGR001WW</t>
  </si>
  <si>
    <t>凉城路</t>
  </si>
  <si>
    <t>横浜桥</t>
  </si>
  <si>
    <t>B0FFGQ9MK6</t>
  </si>
  <si>
    <t>四川北路</t>
  </si>
  <si>
    <t>广中路地道</t>
  </si>
  <si>
    <t>B0FFF9ZRE5</t>
  </si>
  <si>
    <t>乍浦路桥</t>
  </si>
  <si>
    <t>B0IATO6B5M</t>
  </si>
  <si>
    <t>乍浦路</t>
  </si>
  <si>
    <t>南何支线铁路立交桥</t>
  </si>
  <si>
    <t>B0FFG6MQN8</t>
  </si>
  <si>
    <t>白莲泾路桥</t>
  </si>
  <si>
    <t>B0FFG6DOEO</t>
  </si>
  <si>
    <t>白莲泾路</t>
  </si>
  <si>
    <t>江杨北路桥</t>
  </si>
  <si>
    <t>B0FFF9R4PZ</t>
  </si>
  <si>
    <t>江杨北路</t>
  </si>
  <si>
    <t>邢家桥</t>
  </si>
  <si>
    <t>B0FFGQB1R9</t>
  </si>
  <si>
    <t>邢家桥北路</t>
  </si>
  <si>
    <t>外白渡桥</t>
  </si>
  <si>
    <t>B00155IL1T</t>
  </si>
  <si>
    <t>外滩隧道</t>
  </si>
  <si>
    <t>嘉兴路桥</t>
  </si>
  <si>
    <t>B0FFH02EGE</t>
  </si>
  <si>
    <t>四平路</t>
  </si>
  <si>
    <t>水电路市河桥</t>
  </si>
  <si>
    <t>BZAGR001WX</t>
  </si>
  <si>
    <t>水电路</t>
  </si>
  <si>
    <t>B0FFF9ZRDV</t>
  </si>
  <si>
    <t>万安路斜塘河桥</t>
  </si>
  <si>
    <t>B0FFGQ8G3G</t>
  </si>
  <si>
    <t>万安路</t>
  </si>
  <si>
    <t>中山北一路桥</t>
  </si>
  <si>
    <t>B0FFGQ95VK</t>
  </si>
  <si>
    <t>中山北一路</t>
  </si>
  <si>
    <t>车站南路桥</t>
  </si>
  <si>
    <t>BZAGR001UW</t>
  </si>
  <si>
    <t>车站南路</t>
  </si>
  <si>
    <t>车站北路沙泾港桥</t>
  </si>
  <si>
    <t>BZAGR001UV</t>
  </si>
  <si>
    <t>车站北路</t>
  </si>
  <si>
    <t>丰镇路桥</t>
  </si>
  <si>
    <t>BZAGR001WZ</t>
  </si>
  <si>
    <t>丰镇路</t>
  </si>
  <si>
    <t>哈尔滨路二号桥</t>
  </si>
  <si>
    <t>B0FFGQ9K65</t>
  </si>
  <si>
    <t>哈尔滨路</t>
  </si>
  <si>
    <t>余杭路桥</t>
  </si>
  <si>
    <t>BZAGR002EO</t>
  </si>
  <si>
    <t>余杭路</t>
  </si>
  <si>
    <t>汉阳路桥</t>
  </si>
  <si>
    <t>B0FFGQACIF</t>
  </si>
  <si>
    <t>汉阳路</t>
  </si>
  <si>
    <t>延安东路隧道南线</t>
  </si>
  <si>
    <t>B0FFIHMUX5</t>
  </si>
  <si>
    <t>延安东路隧道</t>
  </si>
  <si>
    <t>海宁路桥</t>
  </si>
  <si>
    <t>B00155P28V</t>
  </si>
  <si>
    <t>周家嘴路</t>
  </si>
  <si>
    <t>奎照路沙泾港桥</t>
  </si>
  <si>
    <t>BZAGR001UU</t>
  </si>
  <si>
    <t>拓皋路桥</t>
  </si>
  <si>
    <t>B0FFGQ53LT</t>
  </si>
  <si>
    <t>柘皋路</t>
  </si>
  <si>
    <t>人民路隧道</t>
  </si>
  <si>
    <t>B0FFF9ZRG4</t>
  </si>
  <si>
    <t>南浦大桥</t>
  </si>
  <si>
    <t>B00156DUC9</t>
  </si>
  <si>
    <t>复兴东路隧道(上层)</t>
  </si>
  <si>
    <t>B0FFIZ3MQ4</t>
  </si>
  <si>
    <t>复兴东路隧道上层</t>
  </si>
  <si>
    <t>通州路桥</t>
  </si>
  <si>
    <t>B0FFH02D1B</t>
  </si>
  <si>
    <t>通州路</t>
  </si>
  <si>
    <t>祥德路桥</t>
  </si>
  <si>
    <t>121.497434695649</t>
  </si>
  <si>
    <t>BZAGR001ZC</t>
  </si>
  <si>
    <t>祥德路</t>
  </si>
  <si>
    <t>中山南路地道</t>
  </si>
  <si>
    <t>B0FFIVYX1A</t>
  </si>
  <si>
    <t>中山南路</t>
  </si>
  <si>
    <t>四平路一号桥</t>
  </si>
  <si>
    <t>B0FFH02DJB</t>
  </si>
  <si>
    <t>大柏树立交桥</t>
  </si>
  <si>
    <t>B0GR9HQ2VJ</t>
  </si>
  <si>
    <t>逸仙高架路</t>
  </si>
  <si>
    <t>新建路隧道</t>
  </si>
  <si>
    <t>B0FFF9ZRDS</t>
  </si>
  <si>
    <t>仁德路桥</t>
  </si>
  <si>
    <t>B0FFGQ5FRV</t>
  </si>
  <si>
    <t>杨浦区</t>
  </si>
  <si>
    <t>仁德路</t>
  </si>
  <si>
    <t>政立路桥</t>
  </si>
  <si>
    <t>B0FFGQ4W30</t>
  </si>
  <si>
    <t>政立路</t>
  </si>
  <si>
    <t>长江南路西塘桥</t>
  </si>
  <si>
    <t>B00155OZV5</t>
  </si>
  <si>
    <t>长江南路</t>
  </si>
  <si>
    <t>北横通道-新建路出入口（东）</t>
  </si>
  <si>
    <t>BZAGR0036A</t>
  </si>
  <si>
    <t>白莲泾桥</t>
  </si>
  <si>
    <t>B0FFIW4KHD</t>
  </si>
  <si>
    <t>杨高南路</t>
  </si>
  <si>
    <t>政青路二桥</t>
  </si>
  <si>
    <t>B0FFGQ73JI</t>
  </si>
  <si>
    <t>政青路</t>
  </si>
  <si>
    <t>顾全路桥</t>
  </si>
  <si>
    <t>BZAFR100ZB</t>
  </si>
  <si>
    <t>顾全路</t>
  </si>
  <si>
    <t>政青路一桥</t>
  </si>
  <si>
    <t>B0FFGQ5JJX</t>
  </si>
  <si>
    <t>龙阳路立交桥</t>
  </si>
  <si>
    <t>B0FFFA9YQH</t>
  </si>
  <si>
    <t>大连路隧道</t>
  </si>
  <si>
    <t>B0FFF9ZRE6</t>
  </si>
  <si>
    <t>南新桥</t>
  </si>
  <si>
    <t>B00155P5TS</t>
  </si>
  <si>
    <t>下南路</t>
  </si>
  <si>
    <t>国定路桥</t>
  </si>
  <si>
    <t>BZAGR10156</t>
  </si>
  <si>
    <t>国定路</t>
  </si>
  <si>
    <t>杨树浦港桥</t>
  </si>
  <si>
    <t>B0FFGQ99PN</t>
  </si>
  <si>
    <t>中山北二路</t>
  </si>
  <si>
    <t>杨高路浦建路立交</t>
  </si>
  <si>
    <t>B0FFFAAFTE</t>
  </si>
  <si>
    <t>邯郸路地道</t>
  </si>
  <si>
    <t>B0FFHLGUD0</t>
  </si>
  <si>
    <t>抚顺路桥</t>
  </si>
  <si>
    <t>BZAGR100ZZ</t>
  </si>
  <si>
    <t>抚顺路</t>
  </si>
  <si>
    <t>农场桥</t>
  </si>
  <si>
    <t>B0FFGQ4O8T</t>
  </si>
  <si>
    <t>政本路</t>
  </si>
  <si>
    <t>本溪路桥</t>
  </si>
  <si>
    <t>BZAGR100ZX</t>
  </si>
  <si>
    <t>本溪路</t>
  </si>
  <si>
    <t>江浦路桥</t>
  </si>
  <si>
    <t>B0FFH02FV4</t>
  </si>
  <si>
    <t>江浦路</t>
  </si>
  <si>
    <t>吴淞大桥</t>
  </si>
  <si>
    <t>B0FFG39HU5</t>
  </si>
  <si>
    <t>淞沪路地道</t>
  </si>
  <si>
    <t>B0H1DRNBSF</t>
  </si>
  <si>
    <t>淞沪路</t>
  </si>
  <si>
    <t>控江路桥</t>
  </si>
  <si>
    <t>B0FFH02F9X</t>
  </si>
  <si>
    <t>控江路</t>
  </si>
  <si>
    <t>黄兴路地道</t>
  </si>
  <si>
    <t>B0KDK9M0LZ</t>
  </si>
  <si>
    <t>黄兴路</t>
  </si>
  <si>
    <t>政澄路桥</t>
  </si>
  <si>
    <t>BZAGR10121</t>
  </si>
  <si>
    <t>政澄路</t>
  </si>
  <si>
    <t>国晓路桥</t>
  </si>
  <si>
    <t>B0FFGQ776Q</t>
  </si>
  <si>
    <t>国晓路</t>
  </si>
  <si>
    <t>北横通道-黄兴路出入口</t>
  </si>
  <si>
    <t>BZAGR101VH</t>
  </si>
  <si>
    <t>国庠路桥</t>
  </si>
  <si>
    <t>B0FFGQ4P6W</t>
  </si>
  <si>
    <t>国庠路</t>
  </si>
  <si>
    <t>长江路隧道</t>
  </si>
  <si>
    <t>B0FFG0ZA3X</t>
  </si>
  <si>
    <t>港城路</t>
  </si>
  <si>
    <t>黄兴路桥</t>
  </si>
  <si>
    <t>B0FFH02G23</t>
  </si>
  <si>
    <t>长阳路桥</t>
  </si>
  <si>
    <t>B0FFGQ7D9M</t>
  </si>
  <si>
    <t>长阳路</t>
  </si>
  <si>
    <t>江浦路越江隧道</t>
  </si>
  <si>
    <t>B0FFJZSIJH</t>
  </si>
  <si>
    <t>安浦路</t>
  </si>
  <si>
    <t>河间路桥</t>
  </si>
  <si>
    <t>BZAGR1015D</t>
  </si>
  <si>
    <t>河间路</t>
  </si>
  <si>
    <t>国和路</t>
  </si>
  <si>
    <t>BZAGR1018F</t>
  </si>
  <si>
    <t>平凉路桥</t>
  </si>
  <si>
    <t>B0FFGQ5WKA</t>
  </si>
  <si>
    <t>平凉路</t>
  </si>
  <si>
    <t>浦东大道地道</t>
  </si>
  <si>
    <t>B0JBYRY2YW</t>
  </si>
  <si>
    <t>浦东大道</t>
  </si>
  <si>
    <t>外环隧道</t>
  </si>
  <si>
    <t>B0FFF9ZQJ8</t>
  </si>
  <si>
    <t>G1503上海绕城高速</t>
  </si>
  <si>
    <t>广州路桥</t>
  </si>
  <si>
    <t>B0FFGQ5OT7</t>
  </si>
  <si>
    <t>广州路</t>
  </si>
  <si>
    <t>黑山路桥</t>
  </si>
  <si>
    <t>B0FFH02G1V</t>
  </si>
  <si>
    <t>黑山路</t>
  </si>
  <si>
    <t>双阳路桥</t>
  </si>
  <si>
    <t>BZAGR1011R</t>
  </si>
  <si>
    <t>双阳北路</t>
  </si>
  <si>
    <t>沪南路川杨河桥</t>
  </si>
  <si>
    <t>121.563406611383</t>
  </si>
  <si>
    <t>B00155PS36</t>
  </si>
  <si>
    <t>沪南路</t>
  </si>
  <si>
    <t>芦家桥</t>
  </si>
  <si>
    <t>B0FFGQ809X</t>
  </si>
  <si>
    <t>营口路</t>
  </si>
  <si>
    <t>杨浦大桥</t>
  </si>
  <si>
    <t>B0FFF9R20E</t>
  </si>
  <si>
    <t>隆昌路下立交</t>
  </si>
  <si>
    <t>BY0001MVFT</t>
  </si>
  <si>
    <t>清水河桥</t>
  </si>
  <si>
    <t>B00155PMFY</t>
  </si>
  <si>
    <t>闸殷路</t>
  </si>
  <si>
    <t>洋泾港桥</t>
  </si>
  <si>
    <t>B0FFGQ7RBE</t>
  </si>
  <si>
    <t>张杨路</t>
  </si>
  <si>
    <t>国伟路立交桥</t>
  </si>
  <si>
    <t>B0FFFA9QC0</t>
  </si>
  <si>
    <t>国伟路</t>
  </si>
  <si>
    <t>军工路二号桥</t>
  </si>
  <si>
    <t>B0FFH02EIR</t>
  </si>
  <si>
    <t>军工路</t>
  </si>
  <si>
    <t>包头路桥</t>
  </si>
  <si>
    <t>B0FFGQA3N6</t>
  </si>
  <si>
    <t>包头路</t>
  </si>
  <si>
    <t>国顺东路桥</t>
  </si>
  <si>
    <t>BZAGR1011I</t>
  </si>
  <si>
    <t>国顺东路</t>
  </si>
  <si>
    <t>中农新村桥</t>
  </si>
  <si>
    <t>BZAGR1011H</t>
  </si>
  <si>
    <t>包头南路</t>
  </si>
  <si>
    <t>佳木斯路桥</t>
  </si>
  <si>
    <t>B0FFGQA2RQ</t>
  </si>
  <si>
    <t>佳木斯路</t>
  </si>
  <si>
    <t>万德路</t>
  </si>
  <si>
    <t>B0FFGXB9XV</t>
  </si>
  <si>
    <t>中环军工路立交桥</t>
  </si>
  <si>
    <t>B0GR9HP08W</t>
  </si>
  <si>
    <t>翔殷路</t>
  </si>
  <si>
    <t>罗山路立交桥</t>
  </si>
  <si>
    <t>B0FFFAA58C</t>
  </si>
  <si>
    <t>张江立交桥</t>
  </si>
  <si>
    <t>121.581287624738</t>
  </si>
  <si>
    <t>31.2147841163034</t>
  </si>
  <si>
    <t>B0FFFAAJFK</t>
  </si>
  <si>
    <t>罗山高架路</t>
  </si>
  <si>
    <t>双江路高新河桥</t>
  </si>
  <si>
    <t>B0FFH02DHB</t>
  </si>
  <si>
    <t>双江路</t>
  </si>
  <si>
    <t>定海路桥</t>
  </si>
  <si>
    <t>B0FFHVU5GZ</t>
  </si>
  <si>
    <t>定海路</t>
  </si>
  <si>
    <t>海安路桥</t>
  </si>
  <si>
    <t>B0IA3GLAV1</t>
  </si>
  <si>
    <t>海安路</t>
  </si>
  <si>
    <t>军工路隧道</t>
  </si>
  <si>
    <t>B0FFF9ZREA</t>
  </si>
  <si>
    <t>周家嘴路越江隧道</t>
  </si>
  <si>
    <t>B0FFI2EKC5</t>
  </si>
  <si>
    <t>周家嘴路隧道</t>
  </si>
  <si>
    <t>翔殷路隧道</t>
  </si>
  <si>
    <t>B0FFF9ZRE9</t>
  </si>
  <si>
    <t>张家浜桥</t>
  </si>
  <si>
    <t>31.2317872894162</t>
  </si>
  <si>
    <t>B0FFM81P59</t>
  </si>
  <si>
    <t>云山路</t>
  </si>
  <si>
    <t>八号桥</t>
  </si>
  <si>
    <t>B0FFH02ERR</t>
  </si>
  <si>
    <t>新堰桥</t>
  </si>
  <si>
    <t>B0FFGQ6439</t>
  </si>
  <si>
    <t>张家浜路</t>
  </si>
  <si>
    <t>赵家沟大桥</t>
  </si>
  <si>
    <t>B0FFG0ZHGN</t>
  </si>
  <si>
    <t>浦东北路</t>
  </si>
  <si>
    <t>金桥路张家浜桥</t>
  </si>
  <si>
    <t>B0FFFE2FO7</t>
  </si>
  <si>
    <t>金桥路</t>
  </si>
  <si>
    <t>申江路立交桥</t>
  </si>
  <si>
    <t>B0GR9HPN01</t>
  </si>
  <si>
    <t>季景路桥</t>
  </si>
  <si>
    <t>BZAHR100F7</t>
  </si>
  <si>
    <t>季景北路</t>
  </si>
  <si>
    <t>胜利路桥</t>
  </si>
  <si>
    <t>B00155P06I</t>
  </si>
  <si>
    <t>义王路</t>
  </si>
  <si>
    <t>高木桥</t>
  </si>
  <si>
    <t>B0FFHDJV7C</t>
  </si>
  <si>
    <t>高木桥路</t>
  </si>
  <si>
    <t>杨高北路立交桥</t>
  </si>
  <si>
    <t>B0FFFAAFMM</t>
  </si>
  <si>
    <t>杨高北路</t>
  </si>
  <si>
    <t>马家宅河桥</t>
  </si>
  <si>
    <t>B0FFHDJGTP</t>
  </si>
  <si>
    <t>张东路</t>
  </si>
  <si>
    <t>外环运河桥</t>
  </si>
  <si>
    <t>B0FFF9R4Q4</t>
  </si>
  <si>
    <t>航津路</t>
  </si>
  <si>
    <t>赵家沟桥</t>
  </si>
  <si>
    <t>B0FFKKBQ64</t>
  </si>
  <si>
    <t>申江路</t>
  </si>
  <si>
    <t>环东二大道立交</t>
  </si>
  <si>
    <t>B0FFFA9Z9A</t>
  </si>
  <si>
    <t>新桥</t>
  </si>
  <si>
    <t>BZAFR201KE</t>
  </si>
  <si>
    <t>曹家沟路</t>
  </si>
  <si>
    <t>金海路跨线桥</t>
  </si>
  <si>
    <t>B0FFF9R20H</t>
  </si>
  <si>
    <t>高架桥</t>
  </si>
  <si>
    <t>四川路桥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</si>
</sst>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/>
    <xf numFmtId="0" fontId="0" fillId="0" borderId="0" xfId="0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0" fillId="3" borderId="1" xfId="0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33"/>
  <sheetViews>
    <sheetView tabSelected="1" workbookViewId="0">
      <pane ySplit="1" topLeftCell="A2" activePane="bottomLeft" state="frozen"/>
      <selection/>
      <selection pane="bottomLeft" activeCell="J8" sqref="J8"/>
    </sheetView>
  </sheetViews>
  <sheetFormatPr defaultColWidth="9" defaultRowHeight="13.5"/>
  <cols>
    <col min="1" max="1" width="9" style="3"/>
    <col min="2" max="2" width="9" style="4"/>
    <col min="3" max="3" width="28.625" style="4" customWidth="1"/>
    <col min="4" max="5" width="17.625" style="5" customWidth="1"/>
    <col min="6" max="7" width="12.625" style="6" customWidth="1"/>
    <col min="8" max="9" width="12.625" style="7" customWidth="1"/>
    <col min="10" max="10" width="20.375" style="8" customWidth="1"/>
    <col min="11" max="11" width="9" style="8"/>
    <col min="12" max="12" width="13.25" style="9" customWidth="1"/>
    <col min="13" max="13" width="9" style="9"/>
    <col min="14" max="14" width="17.875" style="8" customWidth="1"/>
    <col min="15" max="15" width="15" style="8" customWidth="1"/>
    <col min="16" max="16" width="11.5" style="10" customWidth="1"/>
    <col min="17" max="17" width="9" style="10"/>
    <col min="18" max="18" width="19.125" style="10" customWidth="1"/>
    <col min="19" max="19" width="19.375" style="10" customWidth="1"/>
    <col min="20" max="20" width="9" style="10"/>
    <col min="21" max="21" width="11.5" style="10" customWidth="1"/>
    <col min="22" max="22" width="9" style="10"/>
  </cols>
  <sheetData>
    <row r="1" spans="1:22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11" t="s">
        <v>9</v>
      </c>
      <c r="K1" s="11" t="s">
        <v>10</v>
      </c>
      <c r="L1" s="12" t="s">
        <v>11</v>
      </c>
      <c r="M1" s="12" t="s">
        <v>12</v>
      </c>
      <c r="N1" s="11" t="s">
        <v>13</v>
      </c>
      <c r="O1" s="11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</row>
    <row r="2" spans="1:22">
      <c r="A2" s="3">
        <v>0</v>
      </c>
      <c r="B2" s="4">
        <v>190307</v>
      </c>
      <c r="C2" s="4" t="s">
        <v>22</v>
      </c>
      <c r="D2" s="5">
        <v>121.359701719652</v>
      </c>
      <c r="E2" s="5">
        <v>31.2154130888768</v>
      </c>
      <c r="F2" s="6">
        <v>121.359271</v>
      </c>
      <c r="G2" s="6">
        <v>31.215453</v>
      </c>
      <c r="H2" s="7">
        <v>121.359953</v>
      </c>
      <c r="I2" s="7">
        <v>31.215395</v>
      </c>
      <c r="J2" s="14">
        <v>0.8</v>
      </c>
      <c r="K2" s="14">
        <v>814</v>
      </c>
      <c r="L2" s="15">
        <f t="shared" ref="L2:L65" si="0">IF(AND(J2&lt;=0.2),4,IF(AND(J2&gt;0.2,J2&lt;=0.4),3,IF(AND(J2&gt;0.4,J2&lt;=0.7),2,IF(AND(J2&gt;0.7,J2&lt;=1),1,"其他"))))</f>
        <v>1</v>
      </c>
      <c r="M2" s="15">
        <f t="shared" ref="M2:M65" si="1">IF(AND(L2&lt;=1),1,IF(AND(L2&gt;1),2,"其他"))</f>
        <v>1</v>
      </c>
      <c r="N2" s="14">
        <v>50</v>
      </c>
      <c r="O2" s="14">
        <v>120</v>
      </c>
      <c r="P2" s="13" t="s">
        <v>23</v>
      </c>
      <c r="Q2" s="13" t="s">
        <v>24</v>
      </c>
      <c r="R2" s="13" t="s">
        <v>22</v>
      </c>
      <c r="S2" s="13" t="s">
        <v>25</v>
      </c>
      <c r="T2" s="13" t="s">
        <v>26</v>
      </c>
      <c r="U2" s="13" t="s">
        <v>27</v>
      </c>
      <c r="V2" s="13">
        <v>2</v>
      </c>
    </row>
    <row r="3" spans="1:22">
      <c r="A3" s="3">
        <v>1</v>
      </c>
      <c r="B3" s="4">
        <v>190307</v>
      </c>
      <c r="C3" s="4" t="s">
        <v>28</v>
      </c>
      <c r="D3" s="5">
        <v>121.361932343382</v>
      </c>
      <c r="E3" s="5">
        <v>31.2080819235494</v>
      </c>
      <c r="F3" s="6">
        <v>121.362258</v>
      </c>
      <c r="G3" s="6">
        <v>31.207739</v>
      </c>
      <c r="H3" s="7">
        <v>121.362124</v>
      </c>
      <c r="I3" s="7">
        <v>31.208189</v>
      </c>
      <c r="J3" s="14">
        <v>0.8</v>
      </c>
      <c r="K3" s="14">
        <v>581</v>
      </c>
      <c r="L3" s="15">
        <f t="shared" si="0"/>
        <v>1</v>
      </c>
      <c r="M3" s="15">
        <f t="shared" si="1"/>
        <v>1</v>
      </c>
      <c r="N3" s="14">
        <v>80</v>
      </c>
      <c r="O3" s="14">
        <v>160</v>
      </c>
      <c r="P3" s="13" t="s">
        <v>29</v>
      </c>
      <c r="Q3" s="13" t="s">
        <v>24</v>
      </c>
      <c r="R3" s="13" t="s">
        <v>30</v>
      </c>
      <c r="S3" s="13" t="s">
        <v>30</v>
      </c>
      <c r="T3" s="13" t="s">
        <v>26</v>
      </c>
      <c r="U3" s="13" t="s">
        <v>31</v>
      </c>
      <c r="V3" s="13">
        <v>4</v>
      </c>
    </row>
    <row r="4" spans="1:22">
      <c r="A4" s="3">
        <v>2</v>
      </c>
      <c r="B4" s="4">
        <v>190307</v>
      </c>
      <c r="C4" s="4" t="s">
        <v>32</v>
      </c>
      <c r="D4" s="5">
        <v>121.359999430458</v>
      </c>
      <c r="E4" s="5">
        <v>31.2157246040896</v>
      </c>
      <c r="F4" s="6">
        <v>121.36022</v>
      </c>
      <c r="G4" s="6">
        <v>31.215806</v>
      </c>
      <c r="H4" s="7">
        <v>121.360064</v>
      </c>
      <c r="I4" s="7">
        <v>31.216487</v>
      </c>
      <c r="J4" s="14">
        <v>0.8</v>
      </c>
      <c r="K4" s="14">
        <v>868</v>
      </c>
      <c r="L4" s="15">
        <f t="shared" si="0"/>
        <v>1</v>
      </c>
      <c r="M4" s="15">
        <f t="shared" si="1"/>
        <v>1</v>
      </c>
      <c r="N4" s="14">
        <v>80</v>
      </c>
      <c r="O4" s="14">
        <v>160</v>
      </c>
      <c r="P4" s="13" t="s">
        <v>33</v>
      </c>
      <c r="Q4" s="13" t="s">
        <v>24</v>
      </c>
      <c r="R4" s="13" t="s">
        <v>30</v>
      </c>
      <c r="S4" s="13" t="s">
        <v>30</v>
      </c>
      <c r="T4" s="13" t="s">
        <v>26</v>
      </c>
      <c r="U4" s="13" t="s">
        <v>31</v>
      </c>
      <c r="V4" s="13">
        <v>4</v>
      </c>
    </row>
    <row r="5" spans="1:22">
      <c r="A5" s="3">
        <v>3</v>
      </c>
      <c r="B5" s="4">
        <v>190307</v>
      </c>
      <c r="C5" s="4" t="s">
        <v>34</v>
      </c>
      <c r="D5" s="5">
        <v>121.357355</v>
      </c>
      <c r="E5" s="5">
        <v>31.23489</v>
      </c>
      <c r="F5" s="6">
        <v>121.357371</v>
      </c>
      <c r="G5" s="6">
        <v>31.234766</v>
      </c>
      <c r="H5" s="7">
        <v>121.357338</v>
      </c>
      <c r="I5" s="7">
        <v>31.235051</v>
      </c>
      <c r="J5" s="14">
        <v>0.8</v>
      </c>
      <c r="K5" s="14">
        <v>980</v>
      </c>
      <c r="L5" s="15">
        <f t="shared" si="0"/>
        <v>1</v>
      </c>
      <c r="M5" s="15">
        <f t="shared" si="1"/>
        <v>1</v>
      </c>
      <c r="N5" s="14">
        <v>30</v>
      </c>
      <c r="O5" s="14">
        <v>120</v>
      </c>
      <c r="P5" s="13" t="s">
        <v>35</v>
      </c>
      <c r="Q5" s="13" t="s">
        <v>24</v>
      </c>
      <c r="R5" s="13" t="s">
        <v>36</v>
      </c>
      <c r="S5" s="13" t="s">
        <v>36</v>
      </c>
      <c r="T5" s="13" t="s">
        <v>26</v>
      </c>
      <c r="U5" s="13" t="s">
        <v>37</v>
      </c>
      <c r="V5" s="13">
        <v>2</v>
      </c>
    </row>
    <row r="6" spans="1:22">
      <c r="A6" s="3">
        <v>4</v>
      </c>
      <c r="B6" s="4">
        <v>190307</v>
      </c>
      <c r="C6" s="4" t="s">
        <v>38</v>
      </c>
      <c r="D6" s="5">
        <v>121.362802</v>
      </c>
      <c r="E6" s="5">
        <v>31.219997</v>
      </c>
      <c r="F6" s="6">
        <v>121.362821</v>
      </c>
      <c r="G6" s="6">
        <v>31.219832</v>
      </c>
      <c r="H6" s="7">
        <v>121.362786</v>
      </c>
      <c r="I6" s="7">
        <v>31.220135</v>
      </c>
      <c r="J6" s="14">
        <v>0.8</v>
      </c>
      <c r="K6" s="14">
        <v>1182</v>
      </c>
      <c r="L6" s="15">
        <f t="shared" si="0"/>
        <v>1</v>
      </c>
      <c r="M6" s="15">
        <f t="shared" si="1"/>
        <v>1</v>
      </c>
      <c r="N6" s="14">
        <v>50</v>
      </c>
      <c r="O6" s="14">
        <v>120</v>
      </c>
      <c r="P6" s="13" t="s">
        <v>39</v>
      </c>
      <c r="Q6" s="13" t="s">
        <v>24</v>
      </c>
      <c r="R6" s="13" t="s">
        <v>38</v>
      </c>
      <c r="S6" s="13" t="s">
        <v>40</v>
      </c>
      <c r="T6" s="13" t="s">
        <v>26</v>
      </c>
      <c r="U6" s="13" t="s">
        <v>27</v>
      </c>
      <c r="V6" s="13">
        <v>2</v>
      </c>
    </row>
    <row r="7" spans="1:22">
      <c r="A7" s="3">
        <v>5</v>
      </c>
      <c r="B7" s="4">
        <v>190307</v>
      </c>
      <c r="C7" s="4" t="s">
        <v>41</v>
      </c>
      <c r="D7" s="5">
        <v>121.365196</v>
      </c>
      <c r="E7" s="5">
        <v>31.220285</v>
      </c>
      <c r="F7" s="6">
        <v>121.365219</v>
      </c>
      <c r="G7" s="6">
        <v>31.220131</v>
      </c>
      <c r="H7" s="7">
        <v>121.365178</v>
      </c>
      <c r="I7" s="7">
        <v>31.220422</v>
      </c>
      <c r="J7" s="14">
        <v>0.8</v>
      </c>
      <c r="K7" s="14">
        <v>1217</v>
      </c>
      <c r="L7" s="15">
        <f t="shared" si="0"/>
        <v>1</v>
      </c>
      <c r="M7" s="15">
        <f t="shared" si="1"/>
        <v>1</v>
      </c>
      <c r="N7" s="14">
        <v>30</v>
      </c>
      <c r="O7" s="14">
        <v>120</v>
      </c>
      <c r="P7" s="13" t="s">
        <v>42</v>
      </c>
      <c r="Q7" s="13" t="s">
        <v>24</v>
      </c>
      <c r="R7" s="13" t="s">
        <v>43</v>
      </c>
      <c r="S7" s="13" t="s">
        <v>43</v>
      </c>
      <c r="T7" s="13" t="s">
        <v>26</v>
      </c>
      <c r="U7" s="13" t="s">
        <v>37</v>
      </c>
      <c r="V7" s="13">
        <v>2</v>
      </c>
    </row>
    <row r="8" spans="1:22">
      <c r="A8" s="3">
        <v>6</v>
      </c>
      <c r="B8" s="4">
        <v>190307</v>
      </c>
      <c r="C8" s="4" t="s">
        <v>44</v>
      </c>
      <c r="D8" s="5">
        <v>121.362353</v>
      </c>
      <c r="E8" s="5">
        <v>31.235056</v>
      </c>
      <c r="F8" s="6">
        <v>121.362267</v>
      </c>
      <c r="G8" s="6">
        <v>31.235283</v>
      </c>
      <c r="H8" s="7">
        <v>121.362418</v>
      </c>
      <c r="I8" s="7">
        <v>31.234872</v>
      </c>
      <c r="J8" s="14">
        <v>0.8</v>
      </c>
      <c r="K8" s="14">
        <v>1018</v>
      </c>
      <c r="L8" s="15">
        <f t="shared" si="0"/>
        <v>1</v>
      </c>
      <c r="M8" s="15">
        <f t="shared" si="1"/>
        <v>1</v>
      </c>
      <c r="N8" s="14">
        <v>30</v>
      </c>
      <c r="O8" s="14">
        <v>120</v>
      </c>
      <c r="P8" s="13" t="s">
        <v>45</v>
      </c>
      <c r="Q8" s="13" t="s">
        <v>24</v>
      </c>
      <c r="R8" s="13" t="s">
        <v>46</v>
      </c>
      <c r="S8" s="13" t="s">
        <v>46</v>
      </c>
      <c r="T8" s="13" t="s">
        <v>26</v>
      </c>
      <c r="U8" s="13" t="s">
        <v>37</v>
      </c>
      <c r="V8" s="13">
        <v>2</v>
      </c>
    </row>
    <row r="9" spans="1:22">
      <c r="A9" s="3">
        <v>7</v>
      </c>
      <c r="B9" s="4">
        <v>190307</v>
      </c>
      <c r="C9" s="4" t="s">
        <v>47</v>
      </c>
      <c r="D9" s="5">
        <v>121.371966</v>
      </c>
      <c r="E9" s="5">
        <v>31.2044</v>
      </c>
      <c r="F9" s="6">
        <v>121.371764</v>
      </c>
      <c r="G9" s="6">
        <v>31.204371</v>
      </c>
      <c r="H9" s="7">
        <v>121.372134</v>
      </c>
      <c r="I9" s="7">
        <v>31.204427</v>
      </c>
      <c r="J9" s="14">
        <v>0.8</v>
      </c>
      <c r="K9" s="14">
        <v>725</v>
      </c>
      <c r="L9" s="15">
        <f t="shared" si="0"/>
        <v>1</v>
      </c>
      <c r="M9" s="15">
        <f t="shared" si="1"/>
        <v>1</v>
      </c>
      <c r="N9" s="14">
        <v>30</v>
      </c>
      <c r="O9" s="14">
        <v>120</v>
      </c>
      <c r="P9" s="13" t="s">
        <v>48</v>
      </c>
      <c r="Q9" s="13" t="s">
        <v>24</v>
      </c>
      <c r="R9" s="13" t="s">
        <v>47</v>
      </c>
      <c r="S9" s="13" t="s">
        <v>49</v>
      </c>
      <c r="T9" s="13" t="s">
        <v>26</v>
      </c>
      <c r="U9" s="13" t="s">
        <v>37</v>
      </c>
      <c r="V9" s="13">
        <v>2</v>
      </c>
    </row>
    <row r="10" spans="1:22">
      <c r="A10" s="3">
        <v>8</v>
      </c>
      <c r="B10" s="4">
        <v>190307</v>
      </c>
      <c r="C10" s="4" t="s">
        <v>50</v>
      </c>
      <c r="D10" s="5">
        <v>121.367591185589</v>
      </c>
      <c r="E10" s="5">
        <v>31.2199546371028</v>
      </c>
      <c r="F10" s="6">
        <v>121.367713</v>
      </c>
      <c r="G10" s="6">
        <v>31.219544</v>
      </c>
      <c r="H10" s="7">
        <v>121.367653</v>
      </c>
      <c r="I10" s="7">
        <v>31.219932</v>
      </c>
      <c r="J10" s="14">
        <v>0.8</v>
      </c>
      <c r="K10" s="14">
        <v>1245</v>
      </c>
      <c r="L10" s="15">
        <f t="shared" si="0"/>
        <v>1</v>
      </c>
      <c r="M10" s="15">
        <f t="shared" si="1"/>
        <v>1</v>
      </c>
      <c r="N10" s="14">
        <v>50</v>
      </c>
      <c r="O10" s="14">
        <v>120</v>
      </c>
      <c r="P10" s="13" t="s">
        <v>51</v>
      </c>
      <c r="Q10" s="13" t="s">
        <v>24</v>
      </c>
      <c r="R10" s="13" t="s">
        <v>52</v>
      </c>
      <c r="S10" s="13" t="s">
        <v>52</v>
      </c>
      <c r="T10" s="13" t="s">
        <v>26</v>
      </c>
      <c r="U10" s="13" t="s">
        <v>27</v>
      </c>
      <c r="V10" s="13">
        <v>2</v>
      </c>
    </row>
    <row r="11" spans="1:22">
      <c r="A11" s="3">
        <v>9</v>
      </c>
      <c r="B11" s="4">
        <v>190307</v>
      </c>
      <c r="C11" s="4" t="s">
        <v>53</v>
      </c>
      <c r="D11" s="5">
        <v>121.369591860389</v>
      </c>
      <c r="E11" s="5">
        <v>31.2137375186258</v>
      </c>
      <c r="F11" s="6">
        <v>121.369599</v>
      </c>
      <c r="G11" s="6">
        <v>31.213597</v>
      </c>
      <c r="H11" s="7">
        <v>121.369505</v>
      </c>
      <c r="I11" s="7">
        <v>31.213889</v>
      </c>
      <c r="J11" s="14">
        <v>0.8</v>
      </c>
      <c r="K11" s="14">
        <v>1133</v>
      </c>
      <c r="L11" s="15">
        <f t="shared" si="0"/>
        <v>1</v>
      </c>
      <c r="M11" s="15">
        <f t="shared" si="1"/>
        <v>1</v>
      </c>
      <c r="N11" s="14">
        <v>50</v>
      </c>
      <c r="O11" s="14">
        <v>120</v>
      </c>
      <c r="P11" s="13" t="s">
        <v>54</v>
      </c>
      <c r="Q11" s="13" t="s">
        <v>24</v>
      </c>
      <c r="R11" s="13" t="s">
        <v>52</v>
      </c>
      <c r="S11" s="13" t="s">
        <v>52</v>
      </c>
      <c r="T11" s="13" t="s">
        <v>26</v>
      </c>
      <c r="U11" s="13" t="s">
        <v>27</v>
      </c>
      <c r="V11" s="13">
        <v>2</v>
      </c>
    </row>
    <row r="12" spans="1:22">
      <c r="A12" s="3">
        <v>10</v>
      </c>
      <c r="B12" s="4">
        <v>190307</v>
      </c>
      <c r="C12" s="4" t="s">
        <v>55</v>
      </c>
      <c r="D12" s="5">
        <v>121.375702</v>
      </c>
      <c r="E12" s="5">
        <v>31.190525</v>
      </c>
      <c r="F12" s="6">
        <v>121.375766</v>
      </c>
      <c r="G12" s="6">
        <v>31.190191</v>
      </c>
      <c r="H12" s="7">
        <v>121.375611</v>
      </c>
      <c r="I12" s="7">
        <v>31.190942</v>
      </c>
      <c r="J12" s="14">
        <v>0.8</v>
      </c>
      <c r="K12" s="14">
        <v>1300</v>
      </c>
      <c r="L12" s="15">
        <f t="shared" si="0"/>
        <v>1</v>
      </c>
      <c r="M12" s="15">
        <f t="shared" si="1"/>
        <v>1</v>
      </c>
      <c r="N12" s="14">
        <v>30</v>
      </c>
      <c r="O12" s="14">
        <v>120</v>
      </c>
      <c r="P12" s="13" t="s">
        <v>56</v>
      </c>
      <c r="Q12" s="13" t="s">
        <v>57</v>
      </c>
      <c r="R12" s="13" t="s">
        <v>58</v>
      </c>
      <c r="S12" s="13" t="s">
        <v>58</v>
      </c>
      <c r="T12" s="13" t="s">
        <v>26</v>
      </c>
      <c r="U12" s="13" t="s">
        <v>37</v>
      </c>
      <c r="V12" s="13">
        <v>2</v>
      </c>
    </row>
    <row r="13" spans="1:22">
      <c r="A13" s="3">
        <v>11</v>
      </c>
      <c r="B13" s="4">
        <v>190307</v>
      </c>
      <c r="C13" s="4" t="s">
        <v>59</v>
      </c>
      <c r="D13" s="5">
        <v>121.367683033475</v>
      </c>
      <c r="E13" s="5">
        <v>31.2220325812669</v>
      </c>
      <c r="F13" s="6">
        <v>121.367601</v>
      </c>
      <c r="G13" s="6">
        <v>31.221388</v>
      </c>
      <c r="H13" s="7">
        <v>121.367632</v>
      </c>
      <c r="I13" s="7">
        <v>31.222204</v>
      </c>
      <c r="J13" s="14">
        <v>0.8</v>
      </c>
      <c r="K13" s="14">
        <v>1218</v>
      </c>
      <c r="L13" s="15">
        <f t="shared" si="0"/>
        <v>1</v>
      </c>
      <c r="M13" s="15">
        <f t="shared" si="1"/>
        <v>1</v>
      </c>
      <c r="N13" s="14">
        <v>50</v>
      </c>
      <c r="O13" s="14">
        <v>120</v>
      </c>
      <c r="P13" s="13" t="s">
        <v>60</v>
      </c>
      <c r="Q13" s="13" t="s">
        <v>24</v>
      </c>
      <c r="R13" s="13" t="s">
        <v>59</v>
      </c>
      <c r="S13" s="13" t="s">
        <v>52</v>
      </c>
      <c r="T13" s="13" t="s">
        <v>26</v>
      </c>
      <c r="U13" s="13" t="s">
        <v>27</v>
      </c>
      <c r="V13" s="13">
        <v>2</v>
      </c>
    </row>
    <row r="14" spans="1:22">
      <c r="A14" s="3">
        <v>12</v>
      </c>
      <c r="B14" s="4">
        <v>190307</v>
      </c>
      <c r="C14" s="4" t="s">
        <v>61</v>
      </c>
      <c r="D14" s="5">
        <v>121.376817774297</v>
      </c>
      <c r="E14" s="5">
        <v>31.1931032875761</v>
      </c>
      <c r="F14" s="6">
        <v>121.376002</v>
      </c>
      <c r="G14" s="6">
        <v>31.192747</v>
      </c>
      <c r="H14" s="7">
        <v>121.376629</v>
      </c>
      <c r="I14" s="7">
        <v>31.192946</v>
      </c>
      <c r="J14" s="14">
        <v>0.8</v>
      </c>
      <c r="K14" s="14">
        <v>1206</v>
      </c>
      <c r="L14" s="15">
        <f t="shared" si="0"/>
        <v>1</v>
      </c>
      <c r="M14" s="15">
        <f t="shared" si="1"/>
        <v>1</v>
      </c>
      <c r="N14" s="14">
        <v>60</v>
      </c>
      <c r="O14" s="14">
        <v>140</v>
      </c>
      <c r="P14" s="13" t="s">
        <v>62</v>
      </c>
      <c r="Q14" s="13" t="s">
        <v>24</v>
      </c>
      <c r="R14" s="13" t="s">
        <v>63</v>
      </c>
      <c r="S14" s="13" t="s">
        <v>63</v>
      </c>
      <c r="T14" s="13" t="s">
        <v>26</v>
      </c>
      <c r="U14" s="13" t="s">
        <v>64</v>
      </c>
      <c r="V14" s="13">
        <v>4</v>
      </c>
    </row>
    <row r="15" spans="1:22">
      <c r="A15" s="3">
        <v>13</v>
      </c>
      <c r="B15" s="4">
        <v>190307</v>
      </c>
      <c r="C15" s="4" t="s">
        <v>65</v>
      </c>
      <c r="D15" s="5">
        <v>121.39226</v>
      </c>
      <c r="E15" s="5">
        <v>31.132418</v>
      </c>
      <c r="F15" s="6">
        <v>121.392443</v>
      </c>
      <c r="G15" s="6">
        <v>31.132075</v>
      </c>
      <c r="H15" s="7">
        <v>121.3921</v>
      </c>
      <c r="I15" s="7">
        <v>31.132715</v>
      </c>
      <c r="J15" s="14">
        <v>0.8</v>
      </c>
      <c r="K15" s="14">
        <v>925</v>
      </c>
      <c r="L15" s="15">
        <f t="shared" si="0"/>
        <v>1</v>
      </c>
      <c r="M15" s="15">
        <f t="shared" si="1"/>
        <v>1</v>
      </c>
      <c r="N15" s="14">
        <v>30</v>
      </c>
      <c r="O15" s="14">
        <v>120</v>
      </c>
      <c r="P15" s="13" t="s">
        <v>66</v>
      </c>
      <c r="Q15" s="13" t="s">
        <v>57</v>
      </c>
      <c r="R15" s="13" t="s">
        <v>67</v>
      </c>
      <c r="S15" s="13" t="s">
        <v>67</v>
      </c>
      <c r="T15" s="13" t="s">
        <v>26</v>
      </c>
      <c r="U15" s="13" t="s">
        <v>37</v>
      </c>
      <c r="V15" s="13">
        <v>2</v>
      </c>
    </row>
    <row r="16" spans="1:22">
      <c r="A16" s="3">
        <v>14</v>
      </c>
      <c r="B16" s="4">
        <v>190310</v>
      </c>
      <c r="C16" s="4" t="s">
        <v>68</v>
      </c>
      <c r="D16" s="5">
        <v>121.368380685607</v>
      </c>
      <c r="E16" s="5">
        <v>31.2296996995613</v>
      </c>
      <c r="F16" s="6">
        <v>121.369102</v>
      </c>
      <c r="G16" s="6">
        <v>31.22971</v>
      </c>
      <c r="H16" s="7">
        <v>121.368295</v>
      </c>
      <c r="I16" s="7">
        <v>31.229705</v>
      </c>
      <c r="J16" s="14">
        <v>0.8</v>
      </c>
      <c r="K16" s="14">
        <v>1190</v>
      </c>
      <c r="L16" s="15">
        <f t="shared" si="0"/>
        <v>1</v>
      </c>
      <c r="M16" s="15">
        <f t="shared" si="1"/>
        <v>1</v>
      </c>
      <c r="N16" s="14">
        <v>80</v>
      </c>
      <c r="O16" s="14">
        <v>160</v>
      </c>
      <c r="P16" s="13" t="s">
        <v>69</v>
      </c>
      <c r="Q16" s="13" t="s">
        <v>24</v>
      </c>
      <c r="R16" s="13" t="s">
        <v>68</v>
      </c>
      <c r="S16" s="13" t="s">
        <v>68</v>
      </c>
      <c r="T16" s="13" t="s">
        <v>70</v>
      </c>
      <c r="U16" s="13" t="s">
        <v>31</v>
      </c>
      <c r="V16" s="13">
        <v>4</v>
      </c>
    </row>
    <row r="17" spans="1:22">
      <c r="A17" s="3">
        <v>15</v>
      </c>
      <c r="B17" s="4">
        <v>190307</v>
      </c>
      <c r="C17" s="4" t="s">
        <v>71</v>
      </c>
      <c r="D17" s="5">
        <v>121.379894002651</v>
      </c>
      <c r="E17" s="5">
        <v>31.1903883581617</v>
      </c>
      <c r="F17" s="6">
        <v>121.380004</v>
      </c>
      <c r="G17" s="6">
        <v>31.190699</v>
      </c>
      <c r="H17" s="7">
        <v>121.379889</v>
      </c>
      <c r="I17" s="7">
        <v>31.190351</v>
      </c>
      <c r="J17" s="14">
        <v>0.8</v>
      </c>
      <c r="K17" s="14">
        <v>1357</v>
      </c>
      <c r="L17" s="15">
        <f t="shared" si="0"/>
        <v>1</v>
      </c>
      <c r="M17" s="15">
        <f t="shared" si="1"/>
        <v>1</v>
      </c>
      <c r="N17" s="14">
        <v>30</v>
      </c>
      <c r="O17" s="14">
        <v>120</v>
      </c>
      <c r="P17" s="13" t="s">
        <v>72</v>
      </c>
      <c r="Q17" s="13" t="s">
        <v>57</v>
      </c>
      <c r="R17" s="13" t="s">
        <v>71</v>
      </c>
      <c r="S17" s="13" t="s">
        <v>73</v>
      </c>
      <c r="T17" s="13" t="s">
        <v>26</v>
      </c>
      <c r="U17" s="13" t="s">
        <v>37</v>
      </c>
      <c r="V17" s="13">
        <v>2</v>
      </c>
    </row>
    <row r="18" spans="1:22">
      <c r="A18" s="3">
        <v>16</v>
      </c>
      <c r="B18" s="4">
        <v>190307</v>
      </c>
      <c r="C18" s="4" t="s">
        <v>74</v>
      </c>
      <c r="D18" s="5">
        <v>121.390267811579</v>
      </c>
      <c r="E18" s="5">
        <v>31.1536615756039</v>
      </c>
      <c r="F18" s="6">
        <v>121.390293</v>
      </c>
      <c r="G18" s="6">
        <v>31.153626</v>
      </c>
      <c r="H18" s="7">
        <v>121.39016</v>
      </c>
      <c r="I18" s="7">
        <v>31.154043</v>
      </c>
      <c r="J18" s="14">
        <v>0.8</v>
      </c>
      <c r="K18" s="14">
        <v>819</v>
      </c>
      <c r="L18" s="15">
        <f t="shared" si="0"/>
        <v>1</v>
      </c>
      <c r="M18" s="15">
        <f t="shared" si="1"/>
        <v>1</v>
      </c>
      <c r="N18" s="14">
        <v>30</v>
      </c>
      <c r="O18" s="14">
        <v>120</v>
      </c>
      <c r="P18" s="13" t="s">
        <v>75</v>
      </c>
      <c r="Q18" s="13" t="s">
        <v>57</v>
      </c>
      <c r="R18" s="13" t="s">
        <v>74</v>
      </c>
      <c r="S18" s="13" t="s">
        <v>76</v>
      </c>
      <c r="T18" s="13" t="s">
        <v>26</v>
      </c>
      <c r="U18" s="13" t="s">
        <v>37</v>
      </c>
      <c r="V18" s="13">
        <v>2</v>
      </c>
    </row>
    <row r="19" spans="1:22">
      <c r="A19" s="3">
        <v>17</v>
      </c>
      <c r="B19" s="4">
        <v>190307</v>
      </c>
      <c r="C19" s="4" t="s">
        <v>77</v>
      </c>
      <c r="D19" s="5">
        <v>121.376391249756</v>
      </c>
      <c r="E19" s="5">
        <v>31.2083162013236</v>
      </c>
      <c r="F19" s="6">
        <v>121.376376</v>
      </c>
      <c r="G19" s="6">
        <v>31.208105</v>
      </c>
      <c r="H19" s="7">
        <v>121.37642</v>
      </c>
      <c r="I19" s="7">
        <v>31.208375</v>
      </c>
      <c r="J19" s="14">
        <v>0.8</v>
      </c>
      <c r="K19" s="14">
        <v>953</v>
      </c>
      <c r="L19" s="15">
        <f t="shared" si="0"/>
        <v>1</v>
      </c>
      <c r="M19" s="15">
        <f t="shared" si="1"/>
        <v>1</v>
      </c>
      <c r="N19" s="14">
        <v>60</v>
      </c>
      <c r="O19" s="14">
        <v>140</v>
      </c>
      <c r="P19" s="13" t="s">
        <v>78</v>
      </c>
      <c r="Q19" s="13" t="s">
        <v>24</v>
      </c>
      <c r="R19" s="13" t="s">
        <v>79</v>
      </c>
      <c r="S19" s="13" t="s">
        <v>79</v>
      </c>
      <c r="T19" s="13" t="s">
        <v>26</v>
      </c>
      <c r="U19" s="13" t="s">
        <v>64</v>
      </c>
      <c r="V19" s="13">
        <v>4</v>
      </c>
    </row>
    <row r="20" spans="1:22">
      <c r="A20" s="3">
        <v>18</v>
      </c>
      <c r="B20" s="4">
        <v>190307</v>
      </c>
      <c r="C20" s="4" t="s">
        <v>80</v>
      </c>
      <c r="D20" s="5">
        <v>121.385699182478</v>
      </c>
      <c r="E20" s="5">
        <v>31.1732543089036</v>
      </c>
      <c r="F20" s="6">
        <v>121.385785</v>
      </c>
      <c r="G20" s="6">
        <v>31.173046</v>
      </c>
      <c r="H20" s="7">
        <v>121.385636</v>
      </c>
      <c r="I20" s="7">
        <v>31.173346</v>
      </c>
      <c r="J20" s="14">
        <v>0.8</v>
      </c>
      <c r="K20" s="14">
        <v>1282</v>
      </c>
      <c r="L20" s="15">
        <f t="shared" si="0"/>
        <v>1</v>
      </c>
      <c r="M20" s="15">
        <f t="shared" si="1"/>
        <v>1</v>
      </c>
      <c r="N20" s="14">
        <v>30</v>
      </c>
      <c r="O20" s="14">
        <v>120</v>
      </c>
      <c r="P20" s="13" t="s">
        <v>81</v>
      </c>
      <c r="Q20" s="13" t="s">
        <v>57</v>
      </c>
      <c r="R20" s="13" t="s">
        <v>76</v>
      </c>
      <c r="S20" s="13" t="s">
        <v>76</v>
      </c>
      <c r="T20" s="13" t="s">
        <v>26</v>
      </c>
      <c r="U20" s="13" t="s">
        <v>37</v>
      </c>
      <c r="V20" s="13">
        <v>2</v>
      </c>
    </row>
    <row r="21" spans="1:22">
      <c r="A21" s="3">
        <v>19</v>
      </c>
      <c r="B21" s="4">
        <v>190307</v>
      </c>
      <c r="C21" s="4" t="s">
        <v>82</v>
      </c>
      <c r="D21" s="5">
        <v>121.375999158425</v>
      </c>
      <c r="E21" s="5">
        <v>31.2122891027415</v>
      </c>
      <c r="F21" s="6">
        <v>121.376033</v>
      </c>
      <c r="G21" s="6">
        <v>31.212397</v>
      </c>
      <c r="H21" s="7">
        <v>121.376152</v>
      </c>
      <c r="I21" s="7">
        <v>31.2119</v>
      </c>
      <c r="J21" s="14">
        <v>0.8</v>
      </c>
      <c r="K21" s="14">
        <v>1150</v>
      </c>
      <c r="L21" s="15">
        <f t="shared" si="0"/>
        <v>1</v>
      </c>
      <c r="M21" s="15">
        <f t="shared" si="1"/>
        <v>1</v>
      </c>
      <c r="N21" s="14">
        <v>60</v>
      </c>
      <c r="O21" s="14">
        <v>140</v>
      </c>
      <c r="P21" s="13" t="s">
        <v>83</v>
      </c>
      <c r="Q21" s="13" t="s">
        <v>24</v>
      </c>
      <c r="R21" s="13" t="s">
        <v>82</v>
      </c>
      <c r="S21" s="13" t="s">
        <v>79</v>
      </c>
      <c r="T21" s="13" t="s">
        <v>26</v>
      </c>
      <c r="U21" s="13" t="s">
        <v>64</v>
      </c>
      <c r="V21" s="13">
        <v>4</v>
      </c>
    </row>
    <row r="22" spans="1:22">
      <c r="A22" s="3">
        <v>20</v>
      </c>
      <c r="B22" s="4">
        <v>190307</v>
      </c>
      <c r="C22" s="4" t="s">
        <v>84</v>
      </c>
      <c r="D22" s="5">
        <v>121.396476737317</v>
      </c>
      <c r="E22" s="5">
        <v>31.1334464898708</v>
      </c>
      <c r="F22" s="6">
        <v>121.396394</v>
      </c>
      <c r="G22" s="6">
        <v>31.133803</v>
      </c>
      <c r="H22" s="7">
        <v>121.396566</v>
      </c>
      <c r="I22" s="7">
        <v>31.133241</v>
      </c>
      <c r="J22" s="14">
        <v>0.8</v>
      </c>
      <c r="K22" s="14">
        <v>1122</v>
      </c>
      <c r="L22" s="15">
        <f t="shared" si="0"/>
        <v>1</v>
      </c>
      <c r="M22" s="15">
        <f t="shared" si="1"/>
        <v>1</v>
      </c>
      <c r="N22" s="14">
        <v>30</v>
      </c>
      <c r="O22" s="14">
        <v>120</v>
      </c>
      <c r="P22" s="13" t="s">
        <v>85</v>
      </c>
      <c r="Q22" s="13" t="s">
        <v>57</v>
      </c>
      <c r="R22" s="13" t="s">
        <v>76</v>
      </c>
      <c r="S22" s="13" t="s">
        <v>76</v>
      </c>
      <c r="T22" s="13" t="s">
        <v>26</v>
      </c>
      <c r="U22" s="13" t="s">
        <v>37</v>
      </c>
      <c r="V22" s="13">
        <v>2</v>
      </c>
    </row>
    <row r="23" spans="1:22">
      <c r="A23" s="3">
        <v>21</v>
      </c>
      <c r="B23" s="4">
        <v>190307</v>
      </c>
      <c r="C23" s="4" t="s">
        <v>86</v>
      </c>
      <c r="D23" s="5">
        <v>121.374505426363</v>
      </c>
      <c r="E23" s="5">
        <v>31.2210079550714</v>
      </c>
      <c r="F23" s="6">
        <v>121.374507</v>
      </c>
      <c r="G23" s="6">
        <v>31.220803</v>
      </c>
      <c r="H23" s="7">
        <v>121.374531</v>
      </c>
      <c r="I23" s="7">
        <v>31.221124</v>
      </c>
      <c r="J23" s="14">
        <v>0.8</v>
      </c>
      <c r="K23" s="14">
        <v>1281</v>
      </c>
      <c r="L23" s="15">
        <f t="shared" si="0"/>
        <v>1</v>
      </c>
      <c r="M23" s="15">
        <f t="shared" si="1"/>
        <v>1</v>
      </c>
      <c r="N23" s="14">
        <v>60</v>
      </c>
      <c r="O23" s="14">
        <v>140</v>
      </c>
      <c r="P23" s="13" t="s">
        <v>87</v>
      </c>
      <c r="Q23" s="13" t="s">
        <v>24</v>
      </c>
      <c r="R23" s="13" t="s">
        <v>79</v>
      </c>
      <c r="S23" s="13" t="s">
        <v>79</v>
      </c>
      <c r="T23" s="13" t="s">
        <v>26</v>
      </c>
      <c r="U23" s="13" t="s">
        <v>64</v>
      </c>
      <c r="V23" s="13">
        <v>4</v>
      </c>
    </row>
    <row r="24" spans="1:22">
      <c r="A24" s="3">
        <v>22</v>
      </c>
      <c r="B24" s="4">
        <v>190310</v>
      </c>
      <c r="C24" s="4" t="s">
        <v>88</v>
      </c>
      <c r="D24" s="5">
        <v>121.373726346846</v>
      </c>
      <c r="E24" s="5">
        <v>31.2288720934299</v>
      </c>
      <c r="F24" s="6">
        <v>121.374394</v>
      </c>
      <c r="G24" s="6">
        <v>31.228577</v>
      </c>
      <c r="H24" s="7">
        <v>121.372857</v>
      </c>
      <c r="I24" s="7">
        <v>31.229187</v>
      </c>
      <c r="J24" s="14">
        <v>0.296375</v>
      </c>
      <c r="K24" s="14">
        <v>1141</v>
      </c>
      <c r="L24" s="15">
        <f t="shared" si="0"/>
        <v>3</v>
      </c>
      <c r="M24" s="15">
        <f t="shared" si="1"/>
        <v>2</v>
      </c>
      <c r="N24" s="14">
        <v>80</v>
      </c>
      <c r="O24" s="14">
        <v>160</v>
      </c>
      <c r="P24" s="13" t="s">
        <v>89</v>
      </c>
      <c r="Q24" s="13" t="s">
        <v>24</v>
      </c>
      <c r="R24" s="13" t="s">
        <v>88</v>
      </c>
      <c r="S24" s="13" t="s">
        <v>88</v>
      </c>
      <c r="T24" s="13" t="s">
        <v>70</v>
      </c>
      <c r="U24" s="13" t="s">
        <v>31</v>
      </c>
      <c r="V24" s="13">
        <v>4</v>
      </c>
    </row>
    <row r="25" spans="1:22">
      <c r="A25" s="3">
        <v>23</v>
      </c>
      <c r="B25" s="4">
        <v>190307</v>
      </c>
      <c r="C25" s="4" t="s">
        <v>90</v>
      </c>
      <c r="D25" s="5">
        <v>121.378034433179</v>
      </c>
      <c r="E25" s="5">
        <v>31.2138619036661</v>
      </c>
      <c r="F25" s="6">
        <v>121.377652</v>
      </c>
      <c r="G25" s="6">
        <v>31.213867</v>
      </c>
      <c r="H25" s="7">
        <v>121.37799</v>
      </c>
      <c r="I25" s="7">
        <v>31.213833</v>
      </c>
      <c r="J25" s="14">
        <v>0.8</v>
      </c>
      <c r="K25" s="14">
        <v>1179</v>
      </c>
      <c r="L25" s="15">
        <f t="shared" si="0"/>
        <v>1</v>
      </c>
      <c r="M25" s="15">
        <f t="shared" si="1"/>
        <v>1</v>
      </c>
      <c r="N25" s="14">
        <v>50</v>
      </c>
      <c r="O25" s="14">
        <v>120</v>
      </c>
      <c r="P25" s="13" t="s">
        <v>91</v>
      </c>
      <c r="Q25" s="13" t="s">
        <v>24</v>
      </c>
      <c r="R25" s="13" t="s">
        <v>90</v>
      </c>
      <c r="S25" s="13" t="s">
        <v>25</v>
      </c>
      <c r="T25" s="13" t="s">
        <v>26</v>
      </c>
      <c r="U25" s="13" t="s">
        <v>27</v>
      </c>
      <c r="V25" s="13">
        <v>2</v>
      </c>
    </row>
    <row r="26" spans="1:22">
      <c r="A26" s="3">
        <v>24</v>
      </c>
      <c r="B26" s="4">
        <v>190306</v>
      </c>
      <c r="C26" s="4" t="s">
        <v>92</v>
      </c>
      <c r="D26" s="5">
        <v>121.399354</v>
      </c>
      <c r="E26" s="5">
        <v>31.128577</v>
      </c>
      <c r="F26" s="6">
        <v>121.399838</v>
      </c>
      <c r="G26" s="6">
        <v>31.129031</v>
      </c>
      <c r="H26" s="7">
        <v>121.399029</v>
      </c>
      <c r="I26" s="7">
        <v>31.128276</v>
      </c>
      <c r="J26" s="14">
        <v>0.8</v>
      </c>
      <c r="K26" s="14">
        <v>961</v>
      </c>
      <c r="L26" s="15">
        <f t="shared" si="0"/>
        <v>1</v>
      </c>
      <c r="M26" s="15">
        <f t="shared" si="1"/>
        <v>1</v>
      </c>
      <c r="N26" s="14">
        <v>80</v>
      </c>
      <c r="O26" s="14">
        <v>160</v>
      </c>
      <c r="P26" s="13" t="s">
        <v>93</v>
      </c>
      <c r="Q26" s="13" t="s">
        <v>57</v>
      </c>
      <c r="R26" s="13" t="s">
        <v>92</v>
      </c>
      <c r="S26" s="13" t="s">
        <v>94</v>
      </c>
      <c r="T26" s="13" t="s">
        <v>95</v>
      </c>
      <c r="U26" s="13" t="s">
        <v>31</v>
      </c>
      <c r="V26" s="13">
        <v>4</v>
      </c>
    </row>
    <row r="27" spans="1:22">
      <c r="A27" s="3">
        <v>25</v>
      </c>
      <c r="B27" s="4">
        <v>190307</v>
      </c>
      <c r="C27" s="4" t="s">
        <v>96</v>
      </c>
      <c r="D27" s="5">
        <v>121.391492538507</v>
      </c>
      <c r="E27" s="5">
        <v>31.1680562757978</v>
      </c>
      <c r="F27" s="6">
        <v>121.391988</v>
      </c>
      <c r="G27" s="6">
        <v>31.168214</v>
      </c>
      <c r="H27" s="7">
        <v>121.391143</v>
      </c>
      <c r="I27" s="7">
        <v>31.167932</v>
      </c>
      <c r="J27" s="14">
        <v>0.8</v>
      </c>
      <c r="K27" s="14">
        <v>1119</v>
      </c>
      <c r="L27" s="15">
        <f t="shared" si="0"/>
        <v>1</v>
      </c>
      <c r="M27" s="15">
        <f t="shared" si="1"/>
        <v>1</v>
      </c>
      <c r="N27" s="14">
        <v>30</v>
      </c>
      <c r="O27" s="14">
        <v>120</v>
      </c>
      <c r="P27" s="13" t="s">
        <v>97</v>
      </c>
      <c r="Q27" s="13" t="s">
        <v>57</v>
      </c>
      <c r="R27" s="13" t="s">
        <v>96</v>
      </c>
      <c r="S27" s="13" t="s">
        <v>98</v>
      </c>
      <c r="T27" s="13" t="s">
        <v>26</v>
      </c>
      <c r="U27" s="13" t="s">
        <v>37</v>
      </c>
      <c r="V27" s="13">
        <v>2</v>
      </c>
    </row>
    <row r="28" spans="1:22">
      <c r="A28" s="3">
        <v>26</v>
      </c>
      <c r="B28" s="4">
        <v>190307</v>
      </c>
      <c r="C28" s="4" t="s">
        <v>61</v>
      </c>
      <c r="D28" s="5">
        <v>121.396526565564</v>
      </c>
      <c r="E28" s="5">
        <v>31.1491242438176</v>
      </c>
      <c r="F28" s="6">
        <v>121.396877</v>
      </c>
      <c r="G28" s="6">
        <v>31.149223</v>
      </c>
      <c r="H28" s="7">
        <v>121.396311</v>
      </c>
      <c r="I28" s="7">
        <v>31.149063</v>
      </c>
      <c r="J28" s="14">
        <v>0.8</v>
      </c>
      <c r="K28" s="14">
        <v>965</v>
      </c>
      <c r="L28" s="15">
        <f t="shared" si="0"/>
        <v>1</v>
      </c>
      <c r="M28" s="15">
        <f t="shared" si="1"/>
        <v>1</v>
      </c>
      <c r="N28" s="14">
        <v>30</v>
      </c>
      <c r="O28" s="14">
        <v>120</v>
      </c>
      <c r="P28" s="13" t="s">
        <v>99</v>
      </c>
      <c r="Q28" s="13" t="s">
        <v>57</v>
      </c>
      <c r="R28" s="13" t="s">
        <v>100</v>
      </c>
      <c r="S28" s="13" t="s">
        <v>100</v>
      </c>
      <c r="T28" s="13" t="s">
        <v>26</v>
      </c>
      <c r="U28" s="13" t="s">
        <v>37</v>
      </c>
      <c r="V28" s="13">
        <v>2</v>
      </c>
    </row>
    <row r="29" spans="1:22">
      <c r="A29" s="3">
        <v>27</v>
      </c>
      <c r="B29" s="4">
        <v>190307</v>
      </c>
      <c r="C29" s="4" t="s">
        <v>101</v>
      </c>
      <c r="D29" s="5">
        <v>121.373035763235</v>
      </c>
      <c r="E29" s="5">
        <v>31.2408306142474</v>
      </c>
      <c r="F29" s="6">
        <v>121.373157</v>
      </c>
      <c r="G29" s="6">
        <v>31.241298</v>
      </c>
      <c r="H29" s="7">
        <v>121.372884</v>
      </c>
      <c r="I29" s="7">
        <v>31.240485</v>
      </c>
      <c r="J29" s="14">
        <v>0.8</v>
      </c>
      <c r="K29" s="14">
        <v>1120</v>
      </c>
      <c r="L29" s="15">
        <f t="shared" si="0"/>
        <v>1</v>
      </c>
      <c r="M29" s="15">
        <f t="shared" si="1"/>
        <v>1</v>
      </c>
      <c r="N29" s="14">
        <v>60</v>
      </c>
      <c r="O29" s="14">
        <v>140</v>
      </c>
      <c r="P29" s="13" t="s">
        <v>102</v>
      </c>
      <c r="Q29" s="13" t="s">
        <v>103</v>
      </c>
      <c r="R29" s="13" t="s">
        <v>101</v>
      </c>
      <c r="S29" s="13" t="s">
        <v>104</v>
      </c>
      <c r="T29" s="13" t="s">
        <v>26</v>
      </c>
      <c r="U29" s="13" t="s">
        <v>64</v>
      </c>
      <c r="V29" s="13">
        <v>4</v>
      </c>
    </row>
    <row r="30" spans="1:22">
      <c r="A30" s="3">
        <v>28</v>
      </c>
      <c r="B30" s="4">
        <v>190307</v>
      </c>
      <c r="C30" s="4" t="s">
        <v>105</v>
      </c>
      <c r="D30" s="5">
        <v>121.38036</v>
      </c>
      <c r="E30" s="5">
        <v>31.21706</v>
      </c>
      <c r="F30" s="6">
        <v>121.380164</v>
      </c>
      <c r="G30" s="6">
        <v>31.217132</v>
      </c>
      <c r="H30" s="7">
        <v>121.380488</v>
      </c>
      <c r="I30" s="7">
        <v>31.217005</v>
      </c>
      <c r="J30" s="14">
        <v>0.8</v>
      </c>
      <c r="K30" s="14">
        <v>1274</v>
      </c>
      <c r="L30" s="15">
        <f t="shared" si="0"/>
        <v>1</v>
      </c>
      <c r="M30" s="15">
        <f t="shared" si="1"/>
        <v>1</v>
      </c>
      <c r="N30" s="14">
        <v>30</v>
      </c>
      <c r="O30" s="14">
        <v>120</v>
      </c>
      <c r="P30" s="13" t="s">
        <v>106</v>
      </c>
      <c r="Q30" s="13" t="s">
        <v>24</v>
      </c>
      <c r="R30" s="13" t="s">
        <v>105</v>
      </c>
      <c r="S30" s="13" t="s">
        <v>107</v>
      </c>
      <c r="T30" s="13" t="s">
        <v>26</v>
      </c>
      <c r="U30" s="13" t="s">
        <v>37</v>
      </c>
      <c r="V30" s="13">
        <v>2</v>
      </c>
    </row>
    <row r="31" spans="1:22">
      <c r="A31" s="3">
        <v>29</v>
      </c>
      <c r="B31" s="4">
        <v>190307</v>
      </c>
      <c r="C31" s="4" t="s">
        <v>108</v>
      </c>
      <c r="D31" s="5">
        <v>121.381525677542</v>
      </c>
      <c r="E31" s="5">
        <v>31.2201410970202</v>
      </c>
      <c r="F31" s="6">
        <v>121.381292</v>
      </c>
      <c r="G31" s="6">
        <v>31.220199</v>
      </c>
      <c r="H31" s="7">
        <v>121.381722</v>
      </c>
      <c r="I31" s="7">
        <v>31.220092</v>
      </c>
      <c r="J31" s="14">
        <v>0.8</v>
      </c>
      <c r="K31" s="14">
        <v>1270</v>
      </c>
      <c r="L31" s="15">
        <f t="shared" si="0"/>
        <v>1</v>
      </c>
      <c r="M31" s="15">
        <f t="shared" si="1"/>
        <v>1</v>
      </c>
      <c r="N31" s="14">
        <v>30</v>
      </c>
      <c r="O31" s="14">
        <v>120</v>
      </c>
      <c r="P31" s="13" t="s">
        <v>109</v>
      </c>
      <c r="Q31" s="13" t="s">
        <v>24</v>
      </c>
      <c r="R31" s="13" t="s">
        <v>110</v>
      </c>
      <c r="S31" s="13" t="s">
        <v>110</v>
      </c>
      <c r="T31" s="13" t="s">
        <v>26</v>
      </c>
      <c r="U31" s="13" t="s">
        <v>37</v>
      </c>
      <c r="V31" s="13">
        <v>2</v>
      </c>
    </row>
    <row r="32" spans="1:22">
      <c r="A32" s="3">
        <v>30</v>
      </c>
      <c r="B32" s="4">
        <v>190307</v>
      </c>
      <c r="C32" s="4" t="s">
        <v>111</v>
      </c>
      <c r="D32" s="5">
        <v>121.404790758836</v>
      </c>
      <c r="E32" s="5">
        <v>31.1333294339574</v>
      </c>
      <c r="F32" s="6">
        <v>121.404955</v>
      </c>
      <c r="G32" s="6">
        <v>31.134028</v>
      </c>
      <c r="H32" s="7">
        <v>121.404087</v>
      </c>
      <c r="I32" s="7">
        <v>31.133183</v>
      </c>
      <c r="J32" s="14">
        <v>0.8</v>
      </c>
      <c r="K32" s="14">
        <v>1272</v>
      </c>
      <c r="L32" s="15">
        <f t="shared" si="0"/>
        <v>1</v>
      </c>
      <c r="M32" s="15">
        <f t="shared" si="1"/>
        <v>1</v>
      </c>
      <c r="N32" s="14">
        <v>60</v>
      </c>
      <c r="O32" s="14">
        <v>140</v>
      </c>
      <c r="P32" s="13" t="s">
        <v>112</v>
      </c>
      <c r="Q32" s="13" t="s">
        <v>57</v>
      </c>
      <c r="R32" s="13" t="s">
        <v>94</v>
      </c>
      <c r="S32" s="13" t="s">
        <v>94</v>
      </c>
      <c r="T32" s="13" t="s">
        <v>26</v>
      </c>
      <c r="U32" s="13" t="s">
        <v>64</v>
      </c>
      <c r="V32" s="13">
        <v>4</v>
      </c>
    </row>
    <row r="33" spans="1:22">
      <c r="A33" s="3">
        <v>31</v>
      </c>
      <c r="B33" s="4">
        <v>190307</v>
      </c>
      <c r="C33" s="4" t="s">
        <v>113</v>
      </c>
      <c r="D33" s="5">
        <v>121.382212830284</v>
      </c>
      <c r="E33" s="5">
        <v>31.2220272305101</v>
      </c>
      <c r="F33" s="6">
        <v>121.382226</v>
      </c>
      <c r="G33" s="6">
        <v>31.221965</v>
      </c>
      <c r="H33" s="7">
        <v>121.382773</v>
      </c>
      <c r="I33" s="7">
        <v>31.221905</v>
      </c>
      <c r="J33" s="14">
        <v>0.8</v>
      </c>
      <c r="K33" s="14">
        <v>1301</v>
      </c>
      <c r="L33" s="15">
        <f t="shared" si="0"/>
        <v>1</v>
      </c>
      <c r="M33" s="15">
        <f t="shared" si="1"/>
        <v>1</v>
      </c>
      <c r="N33" s="14">
        <v>50</v>
      </c>
      <c r="O33" s="14">
        <v>120</v>
      </c>
      <c r="P33" s="13" t="s">
        <v>114</v>
      </c>
      <c r="Q33" s="13" t="s">
        <v>24</v>
      </c>
      <c r="R33" s="13" t="s">
        <v>115</v>
      </c>
      <c r="S33" s="13" t="s">
        <v>115</v>
      </c>
      <c r="T33" s="13" t="s">
        <v>26</v>
      </c>
      <c r="U33" s="13" t="s">
        <v>27</v>
      </c>
      <c r="V33" s="13">
        <v>2</v>
      </c>
    </row>
    <row r="34" spans="1:22">
      <c r="A34" s="3">
        <v>32</v>
      </c>
      <c r="B34" s="4">
        <v>190307</v>
      </c>
      <c r="C34" s="4" t="s">
        <v>116</v>
      </c>
      <c r="D34" s="5">
        <v>121.381958419549</v>
      </c>
      <c r="E34" s="5">
        <v>31.2251648583987</v>
      </c>
      <c r="F34" s="6">
        <v>121.38142</v>
      </c>
      <c r="G34" s="6">
        <v>31.2251</v>
      </c>
      <c r="H34" s="7">
        <v>121.382262</v>
      </c>
      <c r="I34" s="7">
        <v>31.225306</v>
      </c>
      <c r="J34" s="14">
        <v>0.8</v>
      </c>
      <c r="K34" s="14">
        <v>1132</v>
      </c>
      <c r="L34" s="15">
        <f t="shared" si="0"/>
        <v>1</v>
      </c>
      <c r="M34" s="15">
        <f t="shared" si="1"/>
        <v>1</v>
      </c>
      <c r="N34" s="14">
        <v>60</v>
      </c>
      <c r="O34" s="14">
        <v>140</v>
      </c>
      <c r="P34" s="13" t="s">
        <v>117</v>
      </c>
      <c r="Q34" s="13" t="s">
        <v>24</v>
      </c>
      <c r="R34" s="13" t="s">
        <v>118</v>
      </c>
      <c r="S34" s="13" t="s">
        <v>118</v>
      </c>
      <c r="T34" s="13" t="s">
        <v>26</v>
      </c>
      <c r="U34" s="13" t="s">
        <v>64</v>
      </c>
      <c r="V34" s="13">
        <v>4</v>
      </c>
    </row>
    <row r="35" s="1" customFormat="1" spans="1:22">
      <c r="A35" s="3">
        <v>33</v>
      </c>
      <c r="B35" s="4">
        <v>190307</v>
      </c>
      <c r="C35" s="4" t="s">
        <v>119</v>
      </c>
      <c r="D35" s="5">
        <v>121.380512006026</v>
      </c>
      <c r="E35" s="5">
        <v>31.2322331727248</v>
      </c>
      <c r="F35" s="6">
        <v>121.381096</v>
      </c>
      <c r="G35" s="6">
        <v>31.231969</v>
      </c>
      <c r="H35" s="7">
        <v>121.379827</v>
      </c>
      <c r="I35" s="7">
        <v>31.232714</v>
      </c>
      <c r="J35" s="14">
        <v>0.8</v>
      </c>
      <c r="K35" s="14">
        <v>987</v>
      </c>
      <c r="L35" s="15">
        <f t="shared" si="0"/>
        <v>1</v>
      </c>
      <c r="M35" s="15">
        <f t="shared" si="1"/>
        <v>1</v>
      </c>
      <c r="N35" s="14">
        <v>30</v>
      </c>
      <c r="O35" s="14">
        <v>120</v>
      </c>
      <c r="P35" s="16" t="s">
        <v>120</v>
      </c>
      <c r="Q35" s="16" t="s">
        <v>103</v>
      </c>
      <c r="R35" s="16" t="s">
        <v>119</v>
      </c>
      <c r="S35" s="16" t="s">
        <v>121</v>
      </c>
      <c r="T35" s="16" t="s">
        <v>26</v>
      </c>
      <c r="U35" s="16" t="s">
        <v>37</v>
      </c>
      <c r="V35" s="16">
        <v>2</v>
      </c>
    </row>
    <row r="36" spans="1:22">
      <c r="A36" s="3">
        <v>34</v>
      </c>
      <c r="B36" s="4">
        <v>190307</v>
      </c>
      <c r="C36" s="4" t="s">
        <v>122</v>
      </c>
      <c r="D36" s="5">
        <v>121.383121210048</v>
      </c>
      <c r="E36" s="5">
        <v>31.2263213261265</v>
      </c>
      <c r="F36" s="6">
        <v>121.383139</v>
      </c>
      <c r="G36" s="6">
        <v>31.227006</v>
      </c>
      <c r="H36" s="7">
        <v>121.383075</v>
      </c>
      <c r="I36" s="7">
        <v>31.225717</v>
      </c>
      <c r="J36" s="14">
        <v>0.8</v>
      </c>
      <c r="K36" s="14">
        <v>1094</v>
      </c>
      <c r="L36" s="15">
        <f t="shared" si="0"/>
        <v>1</v>
      </c>
      <c r="M36" s="15">
        <f t="shared" si="1"/>
        <v>1</v>
      </c>
      <c r="N36" s="14">
        <v>60</v>
      </c>
      <c r="O36" s="14">
        <v>140</v>
      </c>
      <c r="P36" s="13" t="s">
        <v>123</v>
      </c>
      <c r="Q36" s="13" t="s">
        <v>24</v>
      </c>
      <c r="R36" s="13" t="s">
        <v>124</v>
      </c>
      <c r="S36" s="13" t="s">
        <v>124</v>
      </c>
      <c r="T36" s="13" t="s">
        <v>26</v>
      </c>
      <c r="U36" s="13" t="s">
        <v>64</v>
      </c>
      <c r="V36" s="13">
        <v>4</v>
      </c>
    </row>
    <row r="37" spans="1:22">
      <c r="A37" s="3">
        <v>35</v>
      </c>
      <c r="B37" s="4">
        <v>190310</v>
      </c>
      <c r="C37" s="4" t="s">
        <v>125</v>
      </c>
      <c r="D37" s="5">
        <v>121.386885345406</v>
      </c>
      <c r="E37" s="5">
        <v>31.2134808874002</v>
      </c>
      <c r="F37" s="6">
        <v>121.386163</v>
      </c>
      <c r="G37" s="6">
        <v>31.214112</v>
      </c>
      <c r="H37" s="7">
        <v>121.38789</v>
      </c>
      <c r="I37" s="7">
        <v>31.212598</v>
      </c>
      <c r="J37" s="14">
        <v>0.8</v>
      </c>
      <c r="K37" s="14">
        <v>1286</v>
      </c>
      <c r="L37" s="15">
        <f t="shared" si="0"/>
        <v>1</v>
      </c>
      <c r="M37" s="15">
        <f t="shared" si="1"/>
        <v>1</v>
      </c>
      <c r="N37" s="14">
        <v>80</v>
      </c>
      <c r="O37" s="14">
        <v>160</v>
      </c>
      <c r="P37" s="13" t="s">
        <v>126</v>
      </c>
      <c r="Q37" s="13" t="s">
        <v>24</v>
      </c>
      <c r="R37" s="13" t="s">
        <v>125</v>
      </c>
      <c r="S37" s="13" t="s">
        <v>127</v>
      </c>
      <c r="T37" s="13" t="s">
        <v>70</v>
      </c>
      <c r="U37" s="13" t="s">
        <v>31</v>
      </c>
      <c r="V37" s="13">
        <v>4</v>
      </c>
    </row>
    <row r="38" spans="1:22">
      <c r="A38" s="3">
        <v>36</v>
      </c>
      <c r="B38" s="4">
        <v>190307</v>
      </c>
      <c r="C38" s="4" t="s">
        <v>128</v>
      </c>
      <c r="D38" s="5">
        <v>121.403673691035</v>
      </c>
      <c r="E38" s="5">
        <v>31.1580787073253</v>
      </c>
      <c r="F38" s="6">
        <v>121.403767</v>
      </c>
      <c r="G38" s="6">
        <v>31.157663</v>
      </c>
      <c r="H38" s="7">
        <v>121.403579</v>
      </c>
      <c r="I38" s="7">
        <v>31.158189</v>
      </c>
      <c r="J38" s="14">
        <v>0.8</v>
      </c>
      <c r="K38" s="14">
        <v>1124</v>
      </c>
      <c r="L38" s="15">
        <f t="shared" si="0"/>
        <v>1</v>
      </c>
      <c r="M38" s="15">
        <f t="shared" si="1"/>
        <v>1</v>
      </c>
      <c r="N38" s="14">
        <v>50</v>
      </c>
      <c r="O38" s="14">
        <v>120</v>
      </c>
      <c r="P38" s="13" t="s">
        <v>129</v>
      </c>
      <c r="Q38" s="13" t="s">
        <v>57</v>
      </c>
      <c r="R38" s="13" t="s">
        <v>128</v>
      </c>
      <c r="S38" s="13" t="s">
        <v>130</v>
      </c>
      <c r="T38" s="13" t="s">
        <v>26</v>
      </c>
      <c r="U38" s="13" t="s">
        <v>27</v>
      </c>
      <c r="V38" s="13">
        <v>2</v>
      </c>
    </row>
    <row r="39" spans="1:22">
      <c r="A39" s="3">
        <v>37</v>
      </c>
      <c r="B39" s="4">
        <v>190307</v>
      </c>
      <c r="C39" s="4" t="s">
        <v>131</v>
      </c>
      <c r="D39" s="5">
        <v>121.371083</v>
      </c>
      <c r="E39" s="5">
        <v>31.288098</v>
      </c>
      <c r="F39" s="6">
        <v>121.370829</v>
      </c>
      <c r="G39" s="6">
        <v>31.288118</v>
      </c>
      <c r="H39" s="7">
        <v>121.37132</v>
      </c>
      <c r="I39" s="7">
        <v>31.288065</v>
      </c>
      <c r="J39" s="14">
        <v>0.8</v>
      </c>
      <c r="K39" s="14">
        <v>138</v>
      </c>
      <c r="L39" s="15">
        <f t="shared" si="0"/>
        <v>1</v>
      </c>
      <c r="M39" s="15">
        <f t="shared" si="1"/>
        <v>1</v>
      </c>
      <c r="N39" s="14">
        <v>30</v>
      </c>
      <c r="O39" s="14">
        <v>120</v>
      </c>
      <c r="P39" s="13" t="s">
        <v>132</v>
      </c>
      <c r="Q39" s="13" t="s">
        <v>103</v>
      </c>
      <c r="R39" s="13" t="s">
        <v>133</v>
      </c>
      <c r="S39" s="13" t="s">
        <v>133</v>
      </c>
      <c r="T39" s="13" t="s">
        <v>26</v>
      </c>
      <c r="U39" s="13" t="s">
        <v>37</v>
      </c>
      <c r="V39" s="13">
        <v>2</v>
      </c>
    </row>
    <row r="40" spans="1:22">
      <c r="A40" s="3">
        <v>38</v>
      </c>
      <c r="B40" s="4">
        <v>190307</v>
      </c>
      <c r="C40" s="4" t="s">
        <v>77</v>
      </c>
      <c r="D40" s="5">
        <v>121.397765661112</v>
      </c>
      <c r="E40" s="5">
        <v>31.1847482982539</v>
      </c>
      <c r="F40" s="6">
        <v>121.39746</v>
      </c>
      <c r="G40" s="6">
        <v>31.184519</v>
      </c>
      <c r="H40" s="7">
        <v>121.398002</v>
      </c>
      <c r="I40" s="7">
        <v>31.184817</v>
      </c>
      <c r="J40" s="14">
        <v>0.2762</v>
      </c>
      <c r="K40" s="14">
        <v>1355</v>
      </c>
      <c r="L40" s="15">
        <f t="shared" si="0"/>
        <v>3</v>
      </c>
      <c r="M40" s="15">
        <f t="shared" si="1"/>
        <v>2</v>
      </c>
      <c r="N40" s="14">
        <v>50</v>
      </c>
      <c r="O40" s="14">
        <v>120</v>
      </c>
      <c r="P40" s="13" t="s">
        <v>134</v>
      </c>
      <c r="Q40" s="13" t="s">
        <v>57</v>
      </c>
      <c r="R40" s="13" t="s">
        <v>135</v>
      </c>
      <c r="S40" s="13" t="s">
        <v>135</v>
      </c>
      <c r="T40" s="13" t="s">
        <v>26</v>
      </c>
      <c r="U40" s="13" t="s">
        <v>27</v>
      </c>
      <c r="V40" s="13">
        <v>2</v>
      </c>
    </row>
    <row r="41" spans="1:22">
      <c r="A41" s="3">
        <v>39</v>
      </c>
      <c r="B41" s="4">
        <v>190307</v>
      </c>
      <c r="C41" s="4" t="s">
        <v>136</v>
      </c>
      <c r="D41" s="5">
        <v>121.386936242255</v>
      </c>
      <c r="E41" s="5">
        <v>31.2301786915329</v>
      </c>
      <c r="F41" s="6">
        <v>121.386473</v>
      </c>
      <c r="G41" s="6">
        <v>31.230289</v>
      </c>
      <c r="H41" s="7">
        <v>121.387244</v>
      </c>
      <c r="I41" s="7">
        <v>31.230104</v>
      </c>
      <c r="J41" s="14">
        <v>0.8</v>
      </c>
      <c r="K41" s="14">
        <v>1183</v>
      </c>
      <c r="L41" s="15">
        <f t="shared" si="0"/>
        <v>1</v>
      </c>
      <c r="M41" s="15">
        <f t="shared" si="1"/>
        <v>1</v>
      </c>
      <c r="N41" s="14">
        <v>50</v>
      </c>
      <c r="O41" s="14">
        <v>120</v>
      </c>
      <c r="P41" s="13" t="s">
        <v>137</v>
      </c>
      <c r="Q41" s="13" t="s">
        <v>103</v>
      </c>
      <c r="R41" s="13" t="s">
        <v>138</v>
      </c>
      <c r="S41" s="13" t="s">
        <v>138</v>
      </c>
      <c r="T41" s="13" t="s">
        <v>26</v>
      </c>
      <c r="U41" s="13" t="s">
        <v>27</v>
      </c>
      <c r="V41" s="13">
        <v>2</v>
      </c>
    </row>
    <row r="42" spans="1:22">
      <c r="A42" s="3">
        <v>40</v>
      </c>
      <c r="B42" s="4">
        <v>190307</v>
      </c>
      <c r="C42" s="4" t="s">
        <v>139</v>
      </c>
      <c r="D42" s="5">
        <v>121.386839</v>
      </c>
      <c r="E42" s="5">
        <v>31.233911</v>
      </c>
      <c r="F42" s="6">
        <v>121.386501</v>
      </c>
      <c r="G42" s="6">
        <v>31.233962</v>
      </c>
      <c r="H42" s="7">
        <v>121.387223</v>
      </c>
      <c r="I42" s="7">
        <v>31.233843</v>
      </c>
      <c r="J42" s="14">
        <v>0.8</v>
      </c>
      <c r="K42" s="14">
        <v>1230</v>
      </c>
      <c r="L42" s="15">
        <f t="shared" si="0"/>
        <v>1</v>
      </c>
      <c r="M42" s="15">
        <f t="shared" si="1"/>
        <v>1</v>
      </c>
      <c r="N42" s="14">
        <v>30</v>
      </c>
      <c r="O42" s="14">
        <v>120</v>
      </c>
      <c r="P42" s="13" t="s">
        <v>140</v>
      </c>
      <c r="Q42" s="13" t="s">
        <v>103</v>
      </c>
      <c r="R42" s="13" t="s">
        <v>141</v>
      </c>
      <c r="S42" s="13" t="s">
        <v>141</v>
      </c>
      <c r="T42" s="13" t="s">
        <v>26</v>
      </c>
      <c r="U42" s="13" t="s">
        <v>37</v>
      </c>
      <c r="V42" s="13">
        <v>2</v>
      </c>
    </row>
    <row r="43" spans="1:22">
      <c r="A43" s="3">
        <v>41</v>
      </c>
      <c r="B43" s="4">
        <v>190307</v>
      </c>
      <c r="C43" s="4" t="s">
        <v>142</v>
      </c>
      <c r="D43" s="5">
        <v>121.41297774242</v>
      </c>
      <c r="E43" s="5">
        <v>31.1312510864068</v>
      </c>
      <c r="F43" s="6">
        <v>121.41296</v>
      </c>
      <c r="G43" s="6">
        <v>31.131671</v>
      </c>
      <c r="H43" s="7">
        <v>121.413005</v>
      </c>
      <c r="I43" s="7">
        <v>31.130927</v>
      </c>
      <c r="J43" s="14">
        <v>0.8</v>
      </c>
      <c r="K43" s="14">
        <v>1105</v>
      </c>
      <c r="L43" s="15">
        <f t="shared" si="0"/>
        <v>1</v>
      </c>
      <c r="M43" s="15">
        <f t="shared" si="1"/>
        <v>1</v>
      </c>
      <c r="N43" s="14">
        <v>50</v>
      </c>
      <c r="O43" s="14">
        <v>120</v>
      </c>
      <c r="P43" s="13" t="s">
        <v>143</v>
      </c>
      <c r="Q43" s="13" t="s">
        <v>57</v>
      </c>
      <c r="R43" s="13" t="s">
        <v>144</v>
      </c>
      <c r="S43" s="13" t="s">
        <v>144</v>
      </c>
      <c r="T43" s="13" t="s">
        <v>26</v>
      </c>
      <c r="U43" s="13" t="s">
        <v>27</v>
      </c>
      <c r="V43" s="13">
        <v>2</v>
      </c>
    </row>
    <row r="44" spans="1:22">
      <c r="A44" s="3">
        <v>42</v>
      </c>
      <c r="B44" s="4">
        <v>190307</v>
      </c>
      <c r="C44" s="4" t="s">
        <v>145</v>
      </c>
      <c r="D44" s="5">
        <v>121.384587</v>
      </c>
      <c r="E44" s="5">
        <v>31.244371</v>
      </c>
      <c r="F44" s="6">
        <v>121.384443</v>
      </c>
      <c r="G44" s="6">
        <v>31.244221</v>
      </c>
      <c r="H44" s="7">
        <v>121.384744</v>
      </c>
      <c r="I44" s="7">
        <v>31.244541</v>
      </c>
      <c r="J44" s="14">
        <v>0.8</v>
      </c>
      <c r="K44" s="14">
        <v>1272</v>
      </c>
      <c r="L44" s="15">
        <f t="shared" si="0"/>
        <v>1</v>
      </c>
      <c r="M44" s="15">
        <f t="shared" si="1"/>
        <v>1</v>
      </c>
      <c r="N44" s="14">
        <v>30</v>
      </c>
      <c r="O44" s="14">
        <v>120</v>
      </c>
      <c r="P44" s="13" t="s">
        <v>146</v>
      </c>
      <c r="Q44" s="13" t="s">
        <v>103</v>
      </c>
      <c r="R44" s="13" t="s">
        <v>147</v>
      </c>
      <c r="S44" s="13" t="s">
        <v>147</v>
      </c>
      <c r="T44" s="13" t="s">
        <v>26</v>
      </c>
      <c r="U44" s="13" t="s">
        <v>37</v>
      </c>
      <c r="V44" s="13">
        <v>2</v>
      </c>
    </row>
    <row r="45" spans="1:22">
      <c r="A45" s="3">
        <v>43</v>
      </c>
      <c r="B45" s="4">
        <v>190310</v>
      </c>
      <c r="C45" s="4" t="s">
        <v>148</v>
      </c>
      <c r="D45" s="5">
        <v>121.387038856063</v>
      </c>
      <c r="E45" s="5">
        <v>31.238297884849</v>
      </c>
      <c r="F45" s="6">
        <v>121.386347</v>
      </c>
      <c r="G45" s="6">
        <v>31.237507</v>
      </c>
      <c r="H45" s="7">
        <v>121.38746</v>
      </c>
      <c r="I45" s="7">
        <v>31.238714</v>
      </c>
      <c r="J45" s="14">
        <v>0.8</v>
      </c>
      <c r="K45" s="14">
        <v>1208</v>
      </c>
      <c r="L45" s="15">
        <f t="shared" si="0"/>
        <v>1</v>
      </c>
      <c r="M45" s="15">
        <f t="shared" si="1"/>
        <v>1</v>
      </c>
      <c r="N45" s="14">
        <v>80</v>
      </c>
      <c r="O45" s="14">
        <v>160</v>
      </c>
      <c r="P45" s="13" t="s">
        <v>149</v>
      </c>
      <c r="Q45" s="13" t="s">
        <v>103</v>
      </c>
      <c r="R45" s="13" t="s">
        <v>148</v>
      </c>
      <c r="S45" s="13" t="s">
        <v>127</v>
      </c>
      <c r="T45" s="13" t="s">
        <v>70</v>
      </c>
      <c r="U45" s="13" t="s">
        <v>31</v>
      </c>
      <c r="V45" s="13">
        <v>4</v>
      </c>
    </row>
    <row r="46" spans="1:22">
      <c r="A46" s="3">
        <v>44</v>
      </c>
      <c r="B46" s="4">
        <v>190310</v>
      </c>
      <c r="C46" s="4" t="s">
        <v>150</v>
      </c>
      <c r="D46" s="5">
        <v>121.401137834904</v>
      </c>
      <c r="E46" s="5">
        <v>31.1876349214802</v>
      </c>
      <c r="F46" s="6">
        <v>121.401348</v>
      </c>
      <c r="G46" s="6">
        <v>31.187015</v>
      </c>
      <c r="H46" s="7">
        <v>121.400896</v>
      </c>
      <c r="I46" s="7">
        <v>31.188234</v>
      </c>
      <c r="J46" s="14">
        <v>0.8</v>
      </c>
      <c r="K46" s="14">
        <v>1323</v>
      </c>
      <c r="L46" s="15">
        <f t="shared" si="0"/>
        <v>1</v>
      </c>
      <c r="M46" s="15">
        <f t="shared" si="1"/>
        <v>1</v>
      </c>
      <c r="N46" s="14">
        <v>80</v>
      </c>
      <c r="O46" s="14">
        <v>160</v>
      </c>
      <c r="P46" s="13" t="s">
        <v>151</v>
      </c>
      <c r="Q46" s="13" t="s">
        <v>57</v>
      </c>
      <c r="R46" s="13" t="s">
        <v>150</v>
      </c>
      <c r="S46" s="13" t="s">
        <v>127</v>
      </c>
      <c r="T46" s="13" t="s">
        <v>70</v>
      </c>
      <c r="U46" s="13" t="s">
        <v>31</v>
      </c>
      <c r="V46" s="13">
        <v>4</v>
      </c>
    </row>
    <row r="47" spans="1:22">
      <c r="A47" s="3">
        <v>45</v>
      </c>
      <c r="B47" s="4">
        <v>190307</v>
      </c>
      <c r="C47" s="4" t="s">
        <v>152</v>
      </c>
      <c r="D47" s="5">
        <v>121.411919</v>
      </c>
      <c r="E47" s="5">
        <v>31.138282</v>
      </c>
      <c r="F47" s="6">
        <v>121.411432</v>
      </c>
      <c r="G47" s="6">
        <v>31.137812</v>
      </c>
      <c r="H47" s="7">
        <v>121.411865</v>
      </c>
      <c r="I47" s="7">
        <v>31.138229</v>
      </c>
      <c r="J47" s="14">
        <v>0.8</v>
      </c>
      <c r="K47" s="14">
        <v>1293</v>
      </c>
      <c r="L47" s="15">
        <f t="shared" si="0"/>
        <v>1</v>
      </c>
      <c r="M47" s="15">
        <f t="shared" si="1"/>
        <v>1</v>
      </c>
      <c r="N47" s="14">
        <v>30</v>
      </c>
      <c r="O47" s="14">
        <v>120</v>
      </c>
      <c r="P47" s="13" t="s">
        <v>153</v>
      </c>
      <c r="Q47" s="13" t="s">
        <v>57</v>
      </c>
      <c r="R47" s="13" t="s">
        <v>152</v>
      </c>
      <c r="S47" s="13" t="s">
        <v>154</v>
      </c>
      <c r="T47" s="13" t="s">
        <v>26</v>
      </c>
      <c r="U47" s="13" t="s">
        <v>37</v>
      </c>
      <c r="V47" s="13">
        <v>2</v>
      </c>
    </row>
    <row r="48" spans="1:22">
      <c r="A48" s="3">
        <v>46</v>
      </c>
      <c r="B48" s="4">
        <v>190310</v>
      </c>
      <c r="C48" s="4" t="s">
        <v>155</v>
      </c>
      <c r="D48" s="5">
        <v>121.404515676019</v>
      </c>
      <c r="E48" s="5">
        <v>31.1761766508985</v>
      </c>
      <c r="F48" s="6">
        <v>121.404926</v>
      </c>
      <c r="G48" s="6">
        <v>31.175269</v>
      </c>
      <c r="H48" s="7">
        <v>121.403921</v>
      </c>
      <c r="I48" s="7">
        <v>31.17804</v>
      </c>
      <c r="J48" s="14">
        <v>0.8</v>
      </c>
      <c r="K48" s="14">
        <v>1195</v>
      </c>
      <c r="L48" s="15">
        <f t="shared" si="0"/>
        <v>1</v>
      </c>
      <c r="M48" s="15">
        <f t="shared" si="1"/>
        <v>1</v>
      </c>
      <c r="N48" s="14">
        <v>80</v>
      </c>
      <c r="O48" s="14">
        <v>160</v>
      </c>
      <c r="P48" s="13" t="s">
        <v>156</v>
      </c>
      <c r="Q48" s="13" t="s">
        <v>157</v>
      </c>
      <c r="R48" s="13" t="s">
        <v>155</v>
      </c>
      <c r="S48" s="13" t="s">
        <v>127</v>
      </c>
      <c r="T48" s="13" t="s">
        <v>70</v>
      </c>
      <c r="U48" s="13" t="s">
        <v>31</v>
      </c>
      <c r="V48" s="13">
        <v>4</v>
      </c>
    </row>
    <row r="49" spans="1:22">
      <c r="A49" s="3">
        <v>47</v>
      </c>
      <c r="B49" s="4">
        <v>190307</v>
      </c>
      <c r="C49" s="4" t="s">
        <v>158</v>
      </c>
      <c r="D49" s="5">
        <v>121.392837993115</v>
      </c>
      <c r="E49" s="5">
        <v>31.2247232499494</v>
      </c>
      <c r="F49" s="6">
        <v>121.392948</v>
      </c>
      <c r="G49" s="6">
        <v>31.225102</v>
      </c>
      <c r="H49" s="7">
        <v>121.392803</v>
      </c>
      <c r="I49" s="7">
        <v>31.224431</v>
      </c>
      <c r="J49" s="14">
        <v>0.8</v>
      </c>
      <c r="K49" s="14">
        <v>1438</v>
      </c>
      <c r="L49" s="15">
        <f t="shared" si="0"/>
        <v>1</v>
      </c>
      <c r="M49" s="15">
        <f t="shared" si="1"/>
        <v>1</v>
      </c>
      <c r="N49" s="14">
        <v>30</v>
      </c>
      <c r="O49" s="14">
        <v>120</v>
      </c>
      <c r="P49" s="13" t="s">
        <v>159</v>
      </c>
      <c r="Q49" s="13" t="s">
        <v>24</v>
      </c>
      <c r="R49" s="13" t="s">
        <v>158</v>
      </c>
      <c r="S49" s="13" t="s">
        <v>160</v>
      </c>
      <c r="T49" s="13" t="s">
        <v>26</v>
      </c>
      <c r="U49" s="13" t="s">
        <v>37</v>
      </c>
      <c r="V49" s="13">
        <v>2</v>
      </c>
    </row>
    <row r="50" spans="1:22">
      <c r="A50" s="3">
        <v>48</v>
      </c>
      <c r="B50" s="4">
        <v>190310</v>
      </c>
      <c r="C50" s="4" t="s">
        <v>161</v>
      </c>
      <c r="D50" s="5">
        <v>121.40634737907</v>
      </c>
      <c r="E50" s="5">
        <v>31.1728310063928</v>
      </c>
      <c r="F50" s="6">
        <v>121.406725</v>
      </c>
      <c r="G50" s="6">
        <v>31.172179</v>
      </c>
      <c r="H50" s="7">
        <v>121.405796</v>
      </c>
      <c r="I50" s="7">
        <v>31.173716</v>
      </c>
      <c r="J50" s="14">
        <v>0.8</v>
      </c>
      <c r="K50" s="14">
        <v>1243</v>
      </c>
      <c r="L50" s="15">
        <f t="shared" si="0"/>
        <v>1</v>
      </c>
      <c r="M50" s="15">
        <f t="shared" si="1"/>
        <v>1</v>
      </c>
      <c r="N50" s="14">
        <v>30</v>
      </c>
      <c r="O50" s="14">
        <v>120</v>
      </c>
      <c r="P50" s="13" t="s">
        <v>162</v>
      </c>
      <c r="Q50" s="13" t="s">
        <v>157</v>
      </c>
      <c r="R50" s="13" t="s">
        <v>98</v>
      </c>
      <c r="S50" s="13" t="s">
        <v>98</v>
      </c>
      <c r="T50" s="13" t="s">
        <v>70</v>
      </c>
      <c r="U50" s="13" t="s">
        <v>37</v>
      </c>
      <c r="V50" s="13">
        <v>2</v>
      </c>
    </row>
    <row r="51" spans="1:22">
      <c r="A51" s="3">
        <v>49</v>
      </c>
      <c r="B51" s="4">
        <v>190306</v>
      </c>
      <c r="C51" s="4" t="s">
        <v>163</v>
      </c>
      <c r="D51" s="5">
        <v>121.370733950173</v>
      </c>
      <c r="E51" s="5">
        <v>31.3147390975912</v>
      </c>
      <c r="F51" s="6">
        <v>121.371765</v>
      </c>
      <c r="G51" s="6">
        <v>31.314896</v>
      </c>
      <c r="H51" s="7">
        <v>121.368691</v>
      </c>
      <c r="I51" s="7">
        <v>31.314621</v>
      </c>
      <c r="J51" s="14">
        <v>0.8</v>
      </c>
      <c r="K51" s="14">
        <v>160</v>
      </c>
      <c r="L51" s="15">
        <f t="shared" si="0"/>
        <v>1</v>
      </c>
      <c r="M51" s="15">
        <f t="shared" si="1"/>
        <v>1</v>
      </c>
      <c r="N51" s="14">
        <v>80</v>
      </c>
      <c r="O51" s="14">
        <v>160</v>
      </c>
      <c r="P51" s="13" t="s">
        <v>164</v>
      </c>
      <c r="Q51" s="13" t="s">
        <v>165</v>
      </c>
      <c r="R51" s="13" t="s">
        <v>163</v>
      </c>
      <c r="S51" s="13" t="s">
        <v>166</v>
      </c>
      <c r="T51" s="13" t="s">
        <v>95</v>
      </c>
      <c r="U51" s="13" t="s">
        <v>31</v>
      </c>
      <c r="V51" s="13">
        <v>4</v>
      </c>
    </row>
    <row r="52" spans="1:22">
      <c r="A52" s="3">
        <v>50</v>
      </c>
      <c r="B52" s="4">
        <v>190307</v>
      </c>
      <c r="C52" s="4" t="s">
        <v>167</v>
      </c>
      <c r="D52" s="5">
        <v>121.390721795234</v>
      </c>
      <c r="E52" s="5">
        <v>31.2376592072064</v>
      </c>
      <c r="F52" s="6">
        <v>121.390453</v>
      </c>
      <c r="G52" s="6">
        <v>31.237662</v>
      </c>
      <c r="H52" s="7">
        <v>121.391023</v>
      </c>
      <c r="I52" s="7">
        <v>31.23757</v>
      </c>
      <c r="J52" s="14">
        <v>0.8</v>
      </c>
      <c r="K52" s="14">
        <v>1256</v>
      </c>
      <c r="L52" s="15">
        <f t="shared" si="0"/>
        <v>1</v>
      </c>
      <c r="M52" s="15">
        <f t="shared" si="1"/>
        <v>1</v>
      </c>
      <c r="N52" s="14">
        <v>60</v>
      </c>
      <c r="O52" s="14">
        <v>140</v>
      </c>
      <c r="P52" s="13" t="s">
        <v>168</v>
      </c>
      <c r="Q52" s="13" t="s">
        <v>103</v>
      </c>
      <c r="R52" s="13" t="s">
        <v>167</v>
      </c>
      <c r="S52" s="13" t="s">
        <v>169</v>
      </c>
      <c r="T52" s="13" t="s">
        <v>26</v>
      </c>
      <c r="U52" s="13" t="s">
        <v>64</v>
      </c>
      <c r="V52" s="13">
        <v>4</v>
      </c>
    </row>
    <row r="53" spans="1:22">
      <c r="A53" s="3">
        <v>51</v>
      </c>
      <c r="B53" s="4">
        <v>190310</v>
      </c>
      <c r="C53" s="4" t="s">
        <v>170</v>
      </c>
      <c r="D53" s="5">
        <v>121.408954112668</v>
      </c>
      <c r="E53" s="5">
        <v>31.1684988888419</v>
      </c>
      <c r="F53" s="6">
        <v>121.409548</v>
      </c>
      <c r="G53" s="6">
        <v>31.167187</v>
      </c>
      <c r="H53" s="7">
        <v>121.408616</v>
      </c>
      <c r="I53" s="7">
        <v>31.169076</v>
      </c>
      <c r="J53" s="14">
        <v>0.8</v>
      </c>
      <c r="K53" s="14">
        <v>1267</v>
      </c>
      <c r="L53" s="15">
        <f t="shared" si="0"/>
        <v>1</v>
      </c>
      <c r="M53" s="15">
        <f t="shared" si="1"/>
        <v>1</v>
      </c>
      <c r="N53" s="14">
        <v>80</v>
      </c>
      <c r="O53" s="14">
        <v>160</v>
      </c>
      <c r="P53" s="13" t="s">
        <v>171</v>
      </c>
      <c r="Q53" s="13" t="s">
        <v>157</v>
      </c>
      <c r="R53" s="13" t="s">
        <v>170</v>
      </c>
      <c r="S53" s="13" t="s">
        <v>127</v>
      </c>
      <c r="T53" s="13" t="s">
        <v>70</v>
      </c>
      <c r="U53" s="13" t="s">
        <v>31</v>
      </c>
      <c r="V53" s="13">
        <v>4</v>
      </c>
    </row>
    <row r="54" spans="1:22">
      <c r="A54" s="3">
        <v>52</v>
      </c>
      <c r="B54" s="4">
        <v>190307</v>
      </c>
      <c r="C54" s="4" t="s">
        <v>172</v>
      </c>
      <c r="D54" s="5">
        <v>121.412489773505</v>
      </c>
      <c r="E54" s="5">
        <v>31.1596266886982</v>
      </c>
      <c r="F54" s="6">
        <v>121.412888</v>
      </c>
      <c r="G54" s="6">
        <v>31.159284</v>
      </c>
      <c r="H54" s="7">
        <v>121.412539</v>
      </c>
      <c r="I54" s="7">
        <v>31.160064</v>
      </c>
      <c r="J54" s="14">
        <v>0.8</v>
      </c>
      <c r="K54" s="14">
        <v>1177</v>
      </c>
      <c r="L54" s="15">
        <f t="shared" si="0"/>
        <v>1</v>
      </c>
      <c r="M54" s="15">
        <f t="shared" si="1"/>
        <v>1</v>
      </c>
      <c r="N54" s="14">
        <v>60</v>
      </c>
      <c r="O54" s="14">
        <v>140</v>
      </c>
      <c r="P54" s="13" t="s">
        <v>173</v>
      </c>
      <c r="Q54" s="13" t="s">
        <v>57</v>
      </c>
      <c r="R54" s="13" t="s">
        <v>174</v>
      </c>
      <c r="S54" s="13" t="s">
        <v>174</v>
      </c>
      <c r="T54" s="13" t="s">
        <v>26</v>
      </c>
      <c r="U54" s="13" t="s">
        <v>64</v>
      </c>
      <c r="V54" s="13">
        <v>4</v>
      </c>
    </row>
    <row r="55" spans="1:22">
      <c r="A55" s="3">
        <v>53</v>
      </c>
      <c r="B55" s="4">
        <v>190307</v>
      </c>
      <c r="C55" s="4" t="s">
        <v>175</v>
      </c>
      <c r="D55" s="5">
        <v>121.404102511152</v>
      </c>
      <c r="E55" s="5">
        <v>31.1939712729276</v>
      </c>
      <c r="F55" s="6">
        <v>121.403977</v>
      </c>
      <c r="G55" s="6">
        <v>31.193902</v>
      </c>
      <c r="H55" s="7">
        <v>121.404404</v>
      </c>
      <c r="I55" s="7">
        <v>31.194053</v>
      </c>
      <c r="J55" s="14">
        <v>0.8</v>
      </c>
      <c r="K55" s="14">
        <v>1384</v>
      </c>
      <c r="L55" s="15">
        <f t="shared" si="0"/>
        <v>1</v>
      </c>
      <c r="M55" s="15">
        <f t="shared" si="1"/>
        <v>1</v>
      </c>
      <c r="N55" s="14">
        <v>30</v>
      </c>
      <c r="O55" s="14">
        <v>120</v>
      </c>
      <c r="P55" s="13" t="s">
        <v>176</v>
      </c>
      <c r="Q55" s="13" t="s">
        <v>57</v>
      </c>
      <c r="R55" s="13" t="s">
        <v>175</v>
      </c>
      <c r="S55" s="13" t="s">
        <v>177</v>
      </c>
      <c r="T55" s="13" t="s">
        <v>26</v>
      </c>
      <c r="U55" s="13" t="s">
        <v>37</v>
      </c>
      <c r="V55" s="13">
        <v>2</v>
      </c>
    </row>
    <row r="56" s="1" customFormat="1" spans="1:22">
      <c r="A56" s="3">
        <v>54</v>
      </c>
      <c r="B56" s="4">
        <v>190309</v>
      </c>
      <c r="C56" s="4" t="s">
        <v>178</v>
      </c>
      <c r="D56" s="5">
        <v>121.396710174411</v>
      </c>
      <c r="E56" s="5">
        <v>31.2248699051666</v>
      </c>
      <c r="F56" s="6">
        <v>121.3935</v>
      </c>
      <c r="G56" s="6">
        <v>31.224906</v>
      </c>
      <c r="H56" s="7">
        <v>121.396919</v>
      </c>
      <c r="I56" s="7">
        <v>31.224938</v>
      </c>
      <c r="J56" s="14">
        <v>0.8</v>
      </c>
      <c r="K56" s="14">
        <v>1544</v>
      </c>
      <c r="L56" s="15">
        <f t="shared" si="0"/>
        <v>1</v>
      </c>
      <c r="M56" s="15">
        <f t="shared" si="1"/>
        <v>1</v>
      </c>
      <c r="N56" s="14">
        <v>80</v>
      </c>
      <c r="O56" s="14">
        <v>160</v>
      </c>
      <c r="P56" s="16" t="s">
        <v>179</v>
      </c>
      <c r="Q56" s="16" t="s">
        <v>103</v>
      </c>
      <c r="R56" s="16" t="s">
        <v>180</v>
      </c>
      <c r="S56" s="16" t="s">
        <v>181</v>
      </c>
      <c r="T56" s="16" t="s">
        <v>70</v>
      </c>
      <c r="U56" s="16" t="s">
        <v>31</v>
      </c>
      <c r="V56" s="16">
        <v>4</v>
      </c>
    </row>
    <row r="57" spans="1:22">
      <c r="A57" s="3">
        <v>55</v>
      </c>
      <c r="B57" s="4">
        <v>190307</v>
      </c>
      <c r="C57" s="4" t="s">
        <v>182</v>
      </c>
      <c r="D57" s="5">
        <v>121.406647194626</v>
      </c>
      <c r="E57" s="5">
        <v>31.1887649436697</v>
      </c>
      <c r="F57" s="6">
        <v>121.406635</v>
      </c>
      <c r="G57" s="6">
        <v>31.188822</v>
      </c>
      <c r="H57" s="7">
        <v>121.406939</v>
      </c>
      <c r="I57" s="7">
        <v>31.188966</v>
      </c>
      <c r="J57" s="14">
        <v>0.2762</v>
      </c>
      <c r="K57" s="14">
        <v>1252</v>
      </c>
      <c r="L57" s="15">
        <f t="shared" si="0"/>
        <v>3</v>
      </c>
      <c r="M57" s="15">
        <f t="shared" si="1"/>
        <v>2</v>
      </c>
      <c r="N57" s="14">
        <v>50</v>
      </c>
      <c r="O57" s="14">
        <v>120</v>
      </c>
      <c r="P57" s="13" t="s">
        <v>183</v>
      </c>
      <c r="Q57" s="13" t="s">
        <v>57</v>
      </c>
      <c r="R57" s="13" t="s">
        <v>135</v>
      </c>
      <c r="S57" s="13" t="s">
        <v>135</v>
      </c>
      <c r="T57" s="13" t="s">
        <v>26</v>
      </c>
      <c r="U57" s="13" t="s">
        <v>27</v>
      </c>
      <c r="V57" s="13">
        <v>2</v>
      </c>
    </row>
    <row r="58" spans="1:22">
      <c r="A58" s="3">
        <v>56</v>
      </c>
      <c r="B58" s="4">
        <v>190306</v>
      </c>
      <c r="C58" s="4" t="s">
        <v>184</v>
      </c>
      <c r="D58" s="5">
        <v>121.418005183925</v>
      </c>
      <c r="E58" s="5">
        <v>31.1474274800146</v>
      </c>
      <c r="F58" s="6">
        <v>121.417562</v>
      </c>
      <c r="G58" s="6">
        <v>31.148023</v>
      </c>
      <c r="H58" s="7">
        <v>121.418513</v>
      </c>
      <c r="I58" s="7">
        <v>31.146301</v>
      </c>
      <c r="J58" s="14">
        <v>0.8</v>
      </c>
      <c r="K58" s="14">
        <v>1110</v>
      </c>
      <c r="L58" s="15">
        <f t="shared" si="0"/>
        <v>1</v>
      </c>
      <c r="M58" s="15">
        <f t="shared" si="1"/>
        <v>1</v>
      </c>
      <c r="N58" s="14">
        <v>80</v>
      </c>
      <c r="O58" s="14">
        <v>160</v>
      </c>
      <c r="P58" s="13" t="s">
        <v>185</v>
      </c>
      <c r="Q58" s="13" t="s">
        <v>157</v>
      </c>
      <c r="R58" s="13" t="s">
        <v>184</v>
      </c>
      <c r="S58" s="13" t="s">
        <v>174</v>
      </c>
      <c r="T58" s="13" t="s">
        <v>95</v>
      </c>
      <c r="U58" s="13" t="s">
        <v>31</v>
      </c>
      <c r="V58" s="13">
        <v>4</v>
      </c>
    </row>
    <row r="59" spans="1:22">
      <c r="A59" s="3">
        <v>57</v>
      </c>
      <c r="B59" s="4">
        <v>190307</v>
      </c>
      <c r="C59" s="4" t="s">
        <v>186</v>
      </c>
      <c r="D59" s="5">
        <v>121.417799681794</v>
      </c>
      <c r="E59" s="5">
        <v>31.1519384871168</v>
      </c>
      <c r="F59" s="6">
        <v>121.417962</v>
      </c>
      <c r="G59" s="6">
        <v>31.151571</v>
      </c>
      <c r="H59" s="7">
        <v>121.417816</v>
      </c>
      <c r="I59" s="7">
        <v>31.151906</v>
      </c>
      <c r="J59" s="14">
        <v>0.8</v>
      </c>
      <c r="K59" s="14">
        <v>959</v>
      </c>
      <c r="L59" s="15">
        <f t="shared" si="0"/>
        <v>1</v>
      </c>
      <c r="M59" s="15">
        <f t="shared" si="1"/>
        <v>1</v>
      </c>
      <c r="N59" s="14">
        <v>30</v>
      </c>
      <c r="O59" s="14">
        <v>120</v>
      </c>
      <c r="P59" s="13" t="s">
        <v>187</v>
      </c>
      <c r="Q59" s="13" t="s">
        <v>157</v>
      </c>
      <c r="R59" s="13" t="s">
        <v>188</v>
      </c>
      <c r="S59" s="13" t="s">
        <v>188</v>
      </c>
      <c r="T59" s="13" t="s">
        <v>26</v>
      </c>
      <c r="U59" s="13" t="s">
        <v>37</v>
      </c>
      <c r="V59" s="13">
        <v>2</v>
      </c>
    </row>
    <row r="60" spans="1:22">
      <c r="A60" s="3">
        <v>58</v>
      </c>
      <c r="B60" s="4">
        <v>190307</v>
      </c>
      <c r="C60" s="4" t="s">
        <v>189</v>
      </c>
      <c r="D60" s="5">
        <v>121.415131716654</v>
      </c>
      <c r="E60" s="5">
        <v>31.1627812531963</v>
      </c>
      <c r="F60" s="6">
        <v>121.41502</v>
      </c>
      <c r="G60" s="6">
        <v>31.162973</v>
      </c>
      <c r="H60" s="7">
        <v>121.415213</v>
      </c>
      <c r="I60" s="7">
        <v>31.162642</v>
      </c>
      <c r="J60" s="14">
        <v>0.8</v>
      </c>
      <c r="K60" s="14">
        <v>1230</v>
      </c>
      <c r="L60" s="15">
        <f t="shared" si="0"/>
        <v>1</v>
      </c>
      <c r="M60" s="15">
        <f t="shared" si="1"/>
        <v>1</v>
      </c>
      <c r="N60" s="14">
        <v>30</v>
      </c>
      <c r="O60" s="14">
        <v>120</v>
      </c>
      <c r="P60" s="13" t="s">
        <v>190</v>
      </c>
      <c r="Q60" s="13" t="s">
        <v>157</v>
      </c>
      <c r="R60" s="13" t="s">
        <v>191</v>
      </c>
      <c r="S60" s="13" t="s">
        <v>191</v>
      </c>
      <c r="T60" s="13" t="s">
        <v>26</v>
      </c>
      <c r="U60" s="13" t="s">
        <v>37</v>
      </c>
      <c r="V60" s="13">
        <v>2</v>
      </c>
    </row>
    <row r="61" spans="1:22">
      <c r="A61" s="3">
        <v>59</v>
      </c>
      <c r="B61" s="4">
        <v>190307</v>
      </c>
      <c r="C61" s="4" t="s">
        <v>192</v>
      </c>
      <c r="D61" s="5">
        <v>121.420418592187</v>
      </c>
      <c r="E61" s="5">
        <v>31.1434022102114</v>
      </c>
      <c r="F61" s="6">
        <v>121.42056</v>
      </c>
      <c r="G61" s="6">
        <v>31.143243</v>
      </c>
      <c r="H61" s="7">
        <v>121.420143</v>
      </c>
      <c r="I61" s="7">
        <v>31.143901</v>
      </c>
      <c r="J61" s="14">
        <v>0.8</v>
      </c>
      <c r="K61" s="14">
        <v>1093</v>
      </c>
      <c r="L61" s="15">
        <f t="shared" si="0"/>
        <v>1</v>
      </c>
      <c r="M61" s="15">
        <f t="shared" si="1"/>
        <v>1</v>
      </c>
      <c r="N61" s="14">
        <v>60</v>
      </c>
      <c r="O61" s="14">
        <v>140</v>
      </c>
      <c r="P61" s="13" t="s">
        <v>193</v>
      </c>
      <c r="Q61" s="13" t="s">
        <v>157</v>
      </c>
      <c r="R61" s="13" t="s">
        <v>194</v>
      </c>
      <c r="S61" s="13" t="s">
        <v>194</v>
      </c>
      <c r="T61" s="13" t="s">
        <v>26</v>
      </c>
      <c r="U61" s="13" t="s">
        <v>64</v>
      </c>
      <c r="V61" s="13">
        <v>4</v>
      </c>
    </row>
    <row r="62" spans="1:22">
      <c r="A62" s="3">
        <v>60</v>
      </c>
      <c r="B62" s="4">
        <v>190307</v>
      </c>
      <c r="C62" s="4" t="s">
        <v>195</v>
      </c>
      <c r="D62" s="5">
        <v>121.41289722959</v>
      </c>
      <c r="E62" s="5">
        <v>31.1742397795244</v>
      </c>
      <c r="F62" s="6">
        <v>121.413605</v>
      </c>
      <c r="G62" s="6">
        <v>31.174372</v>
      </c>
      <c r="H62" s="7">
        <v>121.413077</v>
      </c>
      <c r="I62" s="7">
        <v>31.174255</v>
      </c>
      <c r="J62" s="14">
        <v>0.8</v>
      </c>
      <c r="K62" s="14">
        <v>1237</v>
      </c>
      <c r="L62" s="15">
        <f t="shared" si="0"/>
        <v>1</v>
      </c>
      <c r="M62" s="15">
        <f t="shared" si="1"/>
        <v>1</v>
      </c>
      <c r="N62" s="14">
        <v>30</v>
      </c>
      <c r="O62" s="14">
        <v>120</v>
      </c>
      <c r="P62" s="13" t="s">
        <v>196</v>
      </c>
      <c r="Q62" s="13" t="s">
        <v>157</v>
      </c>
      <c r="R62" s="13" t="s">
        <v>195</v>
      </c>
      <c r="S62" s="13" t="s">
        <v>98</v>
      </c>
      <c r="T62" s="13" t="s">
        <v>26</v>
      </c>
      <c r="U62" s="13" t="s">
        <v>37</v>
      </c>
      <c r="V62" s="13">
        <v>2</v>
      </c>
    </row>
    <row r="63" spans="1:22">
      <c r="A63" s="3">
        <v>61</v>
      </c>
      <c r="B63" s="4">
        <v>190307</v>
      </c>
      <c r="C63" s="4" t="s">
        <v>197</v>
      </c>
      <c r="D63" s="5">
        <v>121.41424670968</v>
      </c>
      <c r="E63" s="5">
        <v>31.1694485789748</v>
      </c>
      <c r="F63" s="6">
        <v>121.414518</v>
      </c>
      <c r="G63" s="6">
        <v>31.169552</v>
      </c>
      <c r="H63" s="7">
        <v>121.414019</v>
      </c>
      <c r="I63" s="7">
        <v>31.169438</v>
      </c>
      <c r="J63" s="14">
        <v>0.8</v>
      </c>
      <c r="K63" s="14">
        <v>1283</v>
      </c>
      <c r="L63" s="15">
        <f t="shared" si="0"/>
        <v>1</v>
      </c>
      <c r="M63" s="15">
        <f t="shared" si="1"/>
        <v>1</v>
      </c>
      <c r="N63" s="14">
        <v>60</v>
      </c>
      <c r="O63" s="14">
        <v>140</v>
      </c>
      <c r="P63" s="13" t="s">
        <v>198</v>
      </c>
      <c r="Q63" s="13" t="s">
        <v>157</v>
      </c>
      <c r="R63" s="13" t="s">
        <v>197</v>
      </c>
      <c r="S63" s="13" t="s">
        <v>199</v>
      </c>
      <c r="T63" s="13" t="s">
        <v>26</v>
      </c>
      <c r="U63" s="13" t="s">
        <v>64</v>
      </c>
      <c r="V63" s="13">
        <v>4</v>
      </c>
    </row>
    <row r="64" spans="1:22">
      <c r="A64" s="3">
        <v>62</v>
      </c>
      <c r="B64" s="4">
        <v>190307</v>
      </c>
      <c r="C64" s="4" t="s">
        <v>200</v>
      </c>
      <c r="D64" s="5">
        <v>121.412446464986</v>
      </c>
      <c r="E64" s="5">
        <v>31.1781733286217</v>
      </c>
      <c r="F64" s="6">
        <v>121.412668</v>
      </c>
      <c r="G64" s="6">
        <v>31.178272</v>
      </c>
      <c r="H64" s="7">
        <v>121.412248</v>
      </c>
      <c r="I64" s="7">
        <v>31.178173</v>
      </c>
      <c r="J64" s="14">
        <v>0.8</v>
      </c>
      <c r="K64" s="14">
        <v>1245</v>
      </c>
      <c r="L64" s="15">
        <f t="shared" ref="L64:L127" si="2">IF(AND(J64&lt;=0.2),4,IF(AND(J64&gt;0.2,J64&lt;=0.4),3,IF(AND(J64&gt;0.4,J64&lt;=0.7),2,IF(AND(J64&gt;0.7,J64&lt;=1),1,"其他"))))</f>
        <v>1</v>
      </c>
      <c r="M64" s="15">
        <f t="shared" ref="M64:M127" si="3">IF(AND(L64&lt;=1),1,IF(AND(L64&gt;1),2,"其他"))</f>
        <v>1</v>
      </c>
      <c r="N64" s="14">
        <v>50</v>
      </c>
      <c r="O64" s="14">
        <v>120</v>
      </c>
      <c r="P64" s="13" t="s">
        <v>201</v>
      </c>
      <c r="Q64" s="13" t="s">
        <v>157</v>
      </c>
      <c r="R64" s="13" t="s">
        <v>202</v>
      </c>
      <c r="S64" s="13" t="s">
        <v>202</v>
      </c>
      <c r="T64" s="13" t="s">
        <v>26</v>
      </c>
      <c r="U64" s="13" t="s">
        <v>27</v>
      </c>
      <c r="V64" s="13">
        <v>2</v>
      </c>
    </row>
    <row r="65" spans="1:22">
      <c r="A65" s="3">
        <v>63</v>
      </c>
      <c r="B65" s="4">
        <v>190307</v>
      </c>
      <c r="C65" s="4" t="s">
        <v>203</v>
      </c>
      <c r="D65" s="5">
        <v>121.395561117952</v>
      </c>
      <c r="E65" s="5">
        <v>31.246159440759</v>
      </c>
      <c r="F65" s="6">
        <v>121.395806</v>
      </c>
      <c r="G65" s="6">
        <v>31.246089</v>
      </c>
      <c r="H65" s="7">
        <v>121.39545</v>
      </c>
      <c r="I65" s="7">
        <v>31.246188</v>
      </c>
      <c r="J65" s="14">
        <v>0.8</v>
      </c>
      <c r="K65" s="14">
        <v>1244</v>
      </c>
      <c r="L65" s="15">
        <f t="shared" si="2"/>
        <v>1</v>
      </c>
      <c r="M65" s="15">
        <f t="shared" si="3"/>
        <v>1</v>
      </c>
      <c r="N65" s="14">
        <v>30</v>
      </c>
      <c r="O65" s="14">
        <v>120</v>
      </c>
      <c r="P65" s="13" t="s">
        <v>204</v>
      </c>
      <c r="Q65" s="13" t="s">
        <v>103</v>
      </c>
      <c r="R65" s="13" t="s">
        <v>205</v>
      </c>
      <c r="S65" s="13" t="s">
        <v>205</v>
      </c>
      <c r="T65" s="13" t="s">
        <v>26</v>
      </c>
      <c r="U65" s="13" t="s">
        <v>37</v>
      </c>
      <c r="V65" s="13">
        <v>2</v>
      </c>
    </row>
    <row r="66" spans="1:22">
      <c r="A66" s="3">
        <v>64</v>
      </c>
      <c r="B66" s="4">
        <v>190307</v>
      </c>
      <c r="C66" s="4" t="s">
        <v>206</v>
      </c>
      <c r="D66" s="5">
        <v>121.412155569717</v>
      </c>
      <c r="E66" s="5">
        <v>31.1815480556507</v>
      </c>
      <c r="F66" s="6">
        <v>121.411866</v>
      </c>
      <c r="G66" s="6">
        <v>31.181515</v>
      </c>
      <c r="H66" s="7">
        <v>121.412394</v>
      </c>
      <c r="I66" s="7">
        <v>31.18161</v>
      </c>
      <c r="J66" s="14">
        <v>0.8</v>
      </c>
      <c r="K66" s="14">
        <v>1155</v>
      </c>
      <c r="L66" s="15">
        <f t="shared" si="2"/>
        <v>1</v>
      </c>
      <c r="M66" s="15">
        <f t="shared" si="3"/>
        <v>1</v>
      </c>
      <c r="N66" s="14">
        <v>30</v>
      </c>
      <c r="O66" s="14">
        <v>120</v>
      </c>
      <c r="P66" s="13" t="s">
        <v>207</v>
      </c>
      <c r="Q66" s="13" t="s">
        <v>157</v>
      </c>
      <c r="R66" s="13" t="s">
        <v>208</v>
      </c>
      <c r="S66" s="13" t="s">
        <v>208</v>
      </c>
      <c r="T66" s="13" t="s">
        <v>26</v>
      </c>
      <c r="U66" s="13" t="s">
        <v>37</v>
      </c>
      <c r="V66" s="13">
        <v>2</v>
      </c>
    </row>
    <row r="67" spans="1:22">
      <c r="A67" s="3">
        <v>65</v>
      </c>
      <c r="B67" s="4">
        <v>190307</v>
      </c>
      <c r="C67" s="4" t="s">
        <v>209</v>
      </c>
      <c r="D67" s="5">
        <v>121.419770655305</v>
      </c>
      <c r="E67" s="5">
        <v>31.1524008722901</v>
      </c>
      <c r="F67" s="6">
        <v>121.419826</v>
      </c>
      <c r="G67" s="6">
        <v>31.152288</v>
      </c>
      <c r="H67" s="7">
        <v>121.419709</v>
      </c>
      <c r="I67" s="7">
        <v>31.152556</v>
      </c>
      <c r="J67" s="14">
        <v>0.8</v>
      </c>
      <c r="K67" s="14">
        <v>952</v>
      </c>
      <c r="L67" s="15">
        <f t="shared" si="2"/>
        <v>1</v>
      </c>
      <c r="M67" s="15">
        <f t="shared" si="3"/>
        <v>1</v>
      </c>
      <c r="N67" s="14">
        <v>30</v>
      </c>
      <c r="O67" s="14">
        <v>120</v>
      </c>
      <c r="P67" s="13" t="s">
        <v>210</v>
      </c>
      <c r="Q67" s="13" t="s">
        <v>157</v>
      </c>
      <c r="R67" s="13" t="s">
        <v>211</v>
      </c>
      <c r="S67" s="13" t="s">
        <v>211</v>
      </c>
      <c r="T67" s="13" t="s">
        <v>26</v>
      </c>
      <c r="U67" s="13" t="s">
        <v>37</v>
      </c>
      <c r="V67" s="13">
        <v>2</v>
      </c>
    </row>
    <row r="68" s="1" customFormat="1" spans="1:22">
      <c r="A68" s="3">
        <v>66</v>
      </c>
      <c r="B68" s="4">
        <v>190306</v>
      </c>
      <c r="C68" s="4" t="s">
        <v>212</v>
      </c>
      <c r="D68" s="5">
        <v>121.394595927174</v>
      </c>
      <c r="E68" s="5">
        <v>31.2525454668924</v>
      </c>
      <c r="F68" s="6">
        <v>121.394645</v>
      </c>
      <c r="G68" s="6">
        <v>31.251322</v>
      </c>
      <c r="H68" s="7">
        <v>121.396002</v>
      </c>
      <c r="I68" s="7">
        <v>31.253604</v>
      </c>
      <c r="J68" s="14">
        <v>0.20425</v>
      </c>
      <c r="K68" s="14">
        <v>1216</v>
      </c>
      <c r="L68" s="15">
        <f t="shared" si="2"/>
        <v>3</v>
      </c>
      <c r="M68" s="15">
        <f t="shared" si="3"/>
        <v>2</v>
      </c>
      <c r="N68" s="14">
        <v>80</v>
      </c>
      <c r="O68" s="14">
        <v>160</v>
      </c>
      <c r="P68" s="16" t="s">
        <v>213</v>
      </c>
      <c r="Q68" s="16" t="s">
        <v>103</v>
      </c>
      <c r="R68" s="16" t="s">
        <v>212</v>
      </c>
      <c r="S68" s="16" t="s">
        <v>214</v>
      </c>
      <c r="T68" s="16" t="s">
        <v>95</v>
      </c>
      <c r="U68" s="16" t="s">
        <v>31</v>
      </c>
      <c r="V68" s="16">
        <v>4</v>
      </c>
    </row>
    <row r="69" spans="1:22">
      <c r="A69" s="3">
        <v>67</v>
      </c>
      <c r="B69" s="4">
        <v>190307</v>
      </c>
      <c r="C69" s="4" t="s">
        <v>215</v>
      </c>
      <c r="D69" s="5">
        <v>121.398612893005</v>
      </c>
      <c r="E69" s="5">
        <v>31.2386425020006</v>
      </c>
      <c r="F69" s="6">
        <v>121.398622</v>
      </c>
      <c r="G69" s="6">
        <v>31.238456</v>
      </c>
      <c r="H69" s="7">
        <v>121.398594</v>
      </c>
      <c r="I69" s="7">
        <v>31.238888</v>
      </c>
      <c r="J69" s="14">
        <v>0.8</v>
      </c>
      <c r="K69" s="14">
        <v>1345</v>
      </c>
      <c r="L69" s="15">
        <f t="shared" si="2"/>
        <v>1</v>
      </c>
      <c r="M69" s="15">
        <f t="shared" si="3"/>
        <v>1</v>
      </c>
      <c r="N69" s="14">
        <v>30</v>
      </c>
      <c r="O69" s="14">
        <v>120</v>
      </c>
      <c r="P69" s="13" t="s">
        <v>216</v>
      </c>
      <c r="Q69" s="13" t="s">
        <v>103</v>
      </c>
      <c r="R69" s="13" t="s">
        <v>217</v>
      </c>
      <c r="S69" s="13" t="s">
        <v>217</v>
      </c>
      <c r="T69" s="13" t="s">
        <v>26</v>
      </c>
      <c r="U69" s="13" t="s">
        <v>37</v>
      </c>
      <c r="V69" s="13">
        <v>2</v>
      </c>
    </row>
    <row r="70" spans="1:22">
      <c r="A70" s="3">
        <v>68</v>
      </c>
      <c r="B70" s="4">
        <v>190307</v>
      </c>
      <c r="C70" s="4" t="s">
        <v>218</v>
      </c>
      <c r="D70" s="5">
        <v>121.421216549835</v>
      </c>
      <c r="E70" s="5">
        <v>31.1525899265597</v>
      </c>
      <c r="F70" s="6">
        <v>121.421097</v>
      </c>
      <c r="G70" s="6">
        <v>31.152452</v>
      </c>
      <c r="H70" s="7">
        <v>121.421423</v>
      </c>
      <c r="I70" s="7">
        <v>31.152837</v>
      </c>
      <c r="J70" s="14">
        <v>0.8</v>
      </c>
      <c r="K70" s="14">
        <v>926</v>
      </c>
      <c r="L70" s="15">
        <f t="shared" si="2"/>
        <v>1</v>
      </c>
      <c r="M70" s="15">
        <f t="shared" si="3"/>
        <v>1</v>
      </c>
      <c r="N70" s="14">
        <v>30</v>
      </c>
      <c r="O70" s="14">
        <v>120</v>
      </c>
      <c r="P70" s="13" t="s">
        <v>219</v>
      </c>
      <c r="Q70" s="13" t="s">
        <v>157</v>
      </c>
      <c r="R70" s="13" t="s">
        <v>218</v>
      </c>
      <c r="S70" s="13" t="s">
        <v>220</v>
      </c>
      <c r="T70" s="13" t="s">
        <v>26</v>
      </c>
      <c r="U70" s="13" t="s">
        <v>37</v>
      </c>
      <c r="V70" s="13">
        <v>2</v>
      </c>
    </row>
    <row r="71" spans="1:22">
      <c r="A71" s="3">
        <v>69</v>
      </c>
      <c r="B71" s="4">
        <v>190306</v>
      </c>
      <c r="C71" s="4" t="s">
        <v>221</v>
      </c>
      <c r="D71" s="5">
        <v>121.385477543305</v>
      </c>
      <c r="E71" s="5">
        <v>31.2928575241704</v>
      </c>
      <c r="F71" s="6">
        <v>121.384589</v>
      </c>
      <c r="G71" s="6">
        <v>31.292938</v>
      </c>
      <c r="H71" s="7">
        <v>121.386451</v>
      </c>
      <c r="I71" s="7">
        <v>31.292914</v>
      </c>
      <c r="J71" s="14">
        <v>0.8</v>
      </c>
      <c r="K71" s="14">
        <v>272</v>
      </c>
      <c r="L71" s="15">
        <f t="shared" si="2"/>
        <v>1</v>
      </c>
      <c r="M71" s="15">
        <f t="shared" si="3"/>
        <v>1</v>
      </c>
      <c r="N71" s="14">
        <v>80</v>
      </c>
      <c r="O71" s="14">
        <v>160</v>
      </c>
      <c r="P71" s="13" t="s">
        <v>222</v>
      </c>
      <c r="Q71" s="13" t="s">
        <v>103</v>
      </c>
      <c r="R71" s="13" t="s">
        <v>221</v>
      </c>
      <c r="S71" s="13" t="s">
        <v>223</v>
      </c>
      <c r="T71" s="13" t="s">
        <v>95</v>
      </c>
      <c r="U71" s="13" t="s">
        <v>31</v>
      </c>
      <c r="V71" s="13">
        <v>4</v>
      </c>
    </row>
    <row r="72" spans="1:22">
      <c r="A72" s="3">
        <v>70</v>
      </c>
      <c r="B72" s="4">
        <v>190307</v>
      </c>
      <c r="C72" s="4" t="s">
        <v>224</v>
      </c>
      <c r="D72" s="5">
        <v>121.411941526457</v>
      </c>
      <c r="E72" s="5">
        <v>31.1947939420823</v>
      </c>
      <c r="F72" s="6">
        <v>121.41172</v>
      </c>
      <c r="G72" s="6">
        <v>31.194789</v>
      </c>
      <c r="H72" s="7">
        <v>121.412341</v>
      </c>
      <c r="I72" s="7">
        <v>31.194781</v>
      </c>
      <c r="J72" s="14">
        <v>0.8</v>
      </c>
      <c r="K72" s="14">
        <v>1329</v>
      </c>
      <c r="L72" s="15">
        <f t="shared" si="2"/>
        <v>1</v>
      </c>
      <c r="M72" s="15">
        <f t="shared" si="3"/>
        <v>1</v>
      </c>
      <c r="N72" s="14">
        <v>30</v>
      </c>
      <c r="O72" s="14">
        <v>120</v>
      </c>
      <c r="P72" s="13" t="s">
        <v>225</v>
      </c>
      <c r="Q72" s="13" t="s">
        <v>57</v>
      </c>
      <c r="R72" s="13" t="s">
        <v>177</v>
      </c>
      <c r="S72" s="13" t="s">
        <v>177</v>
      </c>
      <c r="T72" s="13" t="s">
        <v>26</v>
      </c>
      <c r="U72" s="13" t="s">
        <v>37</v>
      </c>
      <c r="V72" s="13">
        <v>2</v>
      </c>
    </row>
    <row r="73" spans="1:22">
      <c r="A73" s="3">
        <v>71</v>
      </c>
      <c r="B73" s="4">
        <v>190307</v>
      </c>
      <c r="C73" s="4" t="s">
        <v>226</v>
      </c>
      <c r="D73" s="5">
        <v>121.428025</v>
      </c>
      <c r="E73" s="5">
        <v>31.133342</v>
      </c>
      <c r="F73" s="6">
        <v>121.427764</v>
      </c>
      <c r="G73" s="6">
        <v>31.133701</v>
      </c>
      <c r="H73" s="7">
        <v>121.428227</v>
      </c>
      <c r="I73" s="7">
        <v>31.133039</v>
      </c>
      <c r="J73" s="14">
        <v>0.8</v>
      </c>
      <c r="K73" s="14">
        <v>1061</v>
      </c>
      <c r="L73" s="15">
        <f t="shared" si="2"/>
        <v>1</v>
      </c>
      <c r="M73" s="15">
        <f t="shared" si="3"/>
        <v>1</v>
      </c>
      <c r="N73" s="14">
        <v>60</v>
      </c>
      <c r="O73" s="14">
        <v>140</v>
      </c>
      <c r="P73" s="13" t="s">
        <v>227</v>
      </c>
      <c r="Q73" s="13" t="s">
        <v>157</v>
      </c>
      <c r="R73" s="13" t="s">
        <v>226</v>
      </c>
      <c r="S73" s="13" t="s">
        <v>194</v>
      </c>
      <c r="T73" s="13" t="s">
        <v>26</v>
      </c>
      <c r="U73" s="13" t="s">
        <v>64</v>
      </c>
      <c r="V73" s="13">
        <v>4</v>
      </c>
    </row>
    <row r="74" spans="1:22">
      <c r="A74" s="3">
        <v>72</v>
      </c>
      <c r="B74" s="4">
        <v>190307</v>
      </c>
      <c r="C74" s="4" t="s">
        <v>228</v>
      </c>
      <c r="D74" s="5">
        <v>121.419014436975</v>
      </c>
      <c r="E74" s="5">
        <v>31.1692007367878</v>
      </c>
      <c r="F74" s="6">
        <v>121.41905</v>
      </c>
      <c r="G74" s="6">
        <v>31.169056</v>
      </c>
      <c r="H74" s="7">
        <v>121.418937</v>
      </c>
      <c r="I74" s="7">
        <v>31.169411</v>
      </c>
      <c r="J74" s="14">
        <v>0.8</v>
      </c>
      <c r="K74" s="14">
        <v>1252</v>
      </c>
      <c r="L74" s="15">
        <f t="shared" si="2"/>
        <v>1</v>
      </c>
      <c r="M74" s="15">
        <f t="shared" si="3"/>
        <v>1</v>
      </c>
      <c r="N74" s="14">
        <v>50</v>
      </c>
      <c r="O74" s="14">
        <v>120</v>
      </c>
      <c r="P74" s="13" t="s">
        <v>229</v>
      </c>
      <c r="Q74" s="13" t="s">
        <v>157</v>
      </c>
      <c r="R74" s="13" t="s">
        <v>228</v>
      </c>
      <c r="S74" s="13" t="s">
        <v>230</v>
      </c>
      <c r="T74" s="13" t="s">
        <v>26</v>
      </c>
      <c r="U74" s="13" t="s">
        <v>27</v>
      </c>
      <c r="V74" s="13">
        <v>2</v>
      </c>
    </row>
    <row r="75" spans="1:22">
      <c r="A75" s="3">
        <v>73</v>
      </c>
      <c r="B75" s="4">
        <v>190307</v>
      </c>
      <c r="C75" s="4" t="s">
        <v>231</v>
      </c>
      <c r="D75" s="5">
        <v>121.397896</v>
      </c>
      <c r="E75" s="5">
        <v>31.25188</v>
      </c>
      <c r="F75" s="6">
        <v>121.398216</v>
      </c>
      <c r="G75" s="6">
        <v>31.251805</v>
      </c>
      <c r="H75" s="7">
        <v>121.397494</v>
      </c>
      <c r="I75" s="7">
        <v>31.251992</v>
      </c>
      <c r="J75" s="14">
        <v>0.8</v>
      </c>
      <c r="K75" s="14">
        <v>1228</v>
      </c>
      <c r="L75" s="15">
        <f t="shared" si="2"/>
        <v>1</v>
      </c>
      <c r="M75" s="15">
        <f t="shared" si="3"/>
        <v>1</v>
      </c>
      <c r="N75" s="14">
        <v>60</v>
      </c>
      <c r="O75" s="14">
        <v>140</v>
      </c>
      <c r="P75" s="13" t="s">
        <v>232</v>
      </c>
      <c r="Q75" s="13" t="s">
        <v>103</v>
      </c>
      <c r="R75" s="13" t="s">
        <v>233</v>
      </c>
      <c r="S75" s="13" t="s">
        <v>233</v>
      </c>
      <c r="T75" s="13" t="s">
        <v>26</v>
      </c>
      <c r="U75" s="13" t="s">
        <v>64</v>
      </c>
      <c r="V75" s="13">
        <v>4</v>
      </c>
    </row>
    <row r="76" spans="1:22">
      <c r="A76" s="3">
        <v>74</v>
      </c>
      <c r="B76" s="4">
        <v>190307</v>
      </c>
      <c r="C76" s="4" t="s">
        <v>234</v>
      </c>
      <c r="D76" s="5">
        <v>121.426383080898</v>
      </c>
      <c r="E76" s="5">
        <v>31.1548089347888</v>
      </c>
      <c r="F76" s="6">
        <v>121.425648</v>
      </c>
      <c r="G76" s="6">
        <v>31.153968</v>
      </c>
      <c r="H76" s="7">
        <v>121.426844</v>
      </c>
      <c r="I76" s="7">
        <v>31.155216</v>
      </c>
      <c r="J76" s="14">
        <v>0.8</v>
      </c>
      <c r="K76" s="14">
        <v>919</v>
      </c>
      <c r="L76" s="15">
        <f t="shared" si="2"/>
        <v>1</v>
      </c>
      <c r="M76" s="15">
        <f t="shared" si="3"/>
        <v>1</v>
      </c>
      <c r="N76" s="14">
        <v>60</v>
      </c>
      <c r="O76" s="14">
        <v>140</v>
      </c>
      <c r="P76" s="13" t="s">
        <v>235</v>
      </c>
      <c r="Q76" s="13" t="s">
        <v>157</v>
      </c>
      <c r="R76" s="13" t="s">
        <v>94</v>
      </c>
      <c r="S76" s="13" t="s">
        <v>94</v>
      </c>
      <c r="T76" s="13" t="s">
        <v>26</v>
      </c>
      <c r="U76" s="13" t="s">
        <v>64</v>
      </c>
      <c r="V76" s="13">
        <v>4</v>
      </c>
    </row>
    <row r="77" spans="1:22">
      <c r="A77" s="3">
        <v>75</v>
      </c>
      <c r="B77" s="4">
        <v>190307</v>
      </c>
      <c r="C77" s="4" t="s">
        <v>236</v>
      </c>
      <c r="D77" s="5">
        <v>121.405249062331</v>
      </c>
      <c r="E77" s="5">
        <v>31.2408003370944</v>
      </c>
      <c r="F77" s="6">
        <v>121.405292</v>
      </c>
      <c r="G77" s="6">
        <v>31.240644</v>
      </c>
      <c r="H77" s="7">
        <v>121.405197</v>
      </c>
      <c r="I77" s="7">
        <v>31.241012</v>
      </c>
      <c r="J77" s="14">
        <v>0.8</v>
      </c>
      <c r="K77" s="14">
        <v>1318</v>
      </c>
      <c r="L77" s="15">
        <f t="shared" si="2"/>
        <v>1</v>
      </c>
      <c r="M77" s="15">
        <f t="shared" si="3"/>
        <v>1</v>
      </c>
      <c r="N77" s="14">
        <v>30</v>
      </c>
      <c r="O77" s="14">
        <v>120</v>
      </c>
      <c r="P77" s="13" t="s">
        <v>237</v>
      </c>
      <c r="Q77" s="13" t="s">
        <v>103</v>
      </c>
      <c r="R77" s="13" t="s">
        <v>236</v>
      </c>
      <c r="S77" s="13" t="s">
        <v>238</v>
      </c>
      <c r="T77" s="13" t="s">
        <v>26</v>
      </c>
      <c r="U77" s="13" t="s">
        <v>37</v>
      </c>
      <c r="V77" s="13">
        <v>2</v>
      </c>
    </row>
    <row r="78" spans="1:22">
      <c r="A78" s="3">
        <v>76</v>
      </c>
      <c r="B78" s="4">
        <v>190307</v>
      </c>
      <c r="C78" s="4" t="s">
        <v>239</v>
      </c>
      <c r="D78" s="5">
        <v>121.392353598993</v>
      </c>
      <c r="E78" s="5">
        <v>31.2918685151971</v>
      </c>
      <c r="F78" s="6">
        <v>121.392338</v>
      </c>
      <c r="G78" s="6">
        <v>31.291596</v>
      </c>
      <c r="H78" s="7">
        <v>121.392356</v>
      </c>
      <c r="I78" s="7">
        <v>31.291915</v>
      </c>
      <c r="J78" s="14">
        <v>0.8</v>
      </c>
      <c r="K78" s="14">
        <v>353</v>
      </c>
      <c r="L78" s="15">
        <f t="shared" si="2"/>
        <v>1</v>
      </c>
      <c r="M78" s="15">
        <f t="shared" si="3"/>
        <v>1</v>
      </c>
      <c r="N78" s="14">
        <v>30</v>
      </c>
      <c r="O78" s="14">
        <v>120</v>
      </c>
      <c r="P78" s="13" t="s">
        <v>240</v>
      </c>
      <c r="Q78" s="13" t="s">
        <v>103</v>
      </c>
      <c r="R78" s="13" t="s">
        <v>239</v>
      </c>
      <c r="S78" s="13" t="s">
        <v>241</v>
      </c>
      <c r="T78" s="13" t="s">
        <v>26</v>
      </c>
      <c r="U78" s="13" t="s">
        <v>37</v>
      </c>
      <c r="V78" s="13">
        <v>2</v>
      </c>
    </row>
    <row r="79" spans="1:22">
      <c r="A79" s="3">
        <v>77</v>
      </c>
      <c r="B79" s="4">
        <v>190307</v>
      </c>
      <c r="C79" s="4" t="s">
        <v>242</v>
      </c>
      <c r="D79" s="5">
        <v>121.433787279442</v>
      </c>
      <c r="E79" s="5">
        <v>31.1310077816164</v>
      </c>
      <c r="F79" s="6">
        <v>121.433619</v>
      </c>
      <c r="G79" s="6">
        <v>31.130927</v>
      </c>
      <c r="H79" s="7">
        <v>121.433964</v>
      </c>
      <c r="I79" s="7">
        <v>31.131105</v>
      </c>
      <c r="J79" s="14">
        <v>0.8</v>
      </c>
      <c r="K79" s="14">
        <v>982</v>
      </c>
      <c r="L79" s="15">
        <f t="shared" si="2"/>
        <v>1</v>
      </c>
      <c r="M79" s="15">
        <f t="shared" si="3"/>
        <v>1</v>
      </c>
      <c r="N79" s="14">
        <v>30</v>
      </c>
      <c r="O79" s="14">
        <v>120</v>
      </c>
      <c r="P79" s="13" t="s">
        <v>243</v>
      </c>
      <c r="Q79" s="13" t="s">
        <v>57</v>
      </c>
      <c r="R79" s="13" t="s">
        <v>242</v>
      </c>
      <c r="S79" s="13" t="s">
        <v>244</v>
      </c>
      <c r="T79" s="13" t="s">
        <v>26</v>
      </c>
      <c r="U79" s="13" t="s">
        <v>37</v>
      </c>
      <c r="V79" s="13">
        <v>2</v>
      </c>
    </row>
    <row r="80" spans="1:22">
      <c r="A80" s="3">
        <v>78</v>
      </c>
      <c r="B80" s="4">
        <v>190307</v>
      </c>
      <c r="C80" s="4" t="s">
        <v>245</v>
      </c>
      <c r="D80" s="5">
        <v>121.393404758866</v>
      </c>
      <c r="E80" s="5">
        <v>31.2888302360604</v>
      </c>
      <c r="F80" s="6">
        <v>121.392976</v>
      </c>
      <c r="G80" s="6">
        <v>31.28891</v>
      </c>
      <c r="H80" s="7">
        <v>121.3938</v>
      </c>
      <c r="I80" s="7">
        <v>31.288835</v>
      </c>
      <c r="J80" s="14">
        <v>0.8</v>
      </c>
      <c r="K80" s="14">
        <v>387</v>
      </c>
      <c r="L80" s="15">
        <f t="shared" si="2"/>
        <v>1</v>
      </c>
      <c r="M80" s="15">
        <f t="shared" si="3"/>
        <v>1</v>
      </c>
      <c r="N80" s="14">
        <v>50</v>
      </c>
      <c r="O80" s="14">
        <v>120</v>
      </c>
      <c r="P80" s="13" t="s">
        <v>246</v>
      </c>
      <c r="Q80" s="13" t="s">
        <v>103</v>
      </c>
      <c r="R80" s="13" t="s">
        <v>247</v>
      </c>
      <c r="S80" s="13" t="s">
        <v>247</v>
      </c>
      <c r="T80" s="13" t="s">
        <v>26</v>
      </c>
      <c r="U80" s="13" t="s">
        <v>27</v>
      </c>
      <c r="V80" s="13">
        <v>2</v>
      </c>
    </row>
    <row r="81" spans="1:22">
      <c r="A81" s="3">
        <v>79</v>
      </c>
      <c r="B81" s="4">
        <v>190307</v>
      </c>
      <c r="C81" s="4" t="s">
        <v>248</v>
      </c>
      <c r="D81" s="5">
        <v>121.427321741898</v>
      </c>
      <c r="E81" s="5">
        <v>31.1587444961677</v>
      </c>
      <c r="F81" s="6">
        <v>121.427077</v>
      </c>
      <c r="G81" s="6">
        <v>31.158555</v>
      </c>
      <c r="H81" s="7">
        <v>121.427527</v>
      </c>
      <c r="I81" s="7">
        <v>31.158874</v>
      </c>
      <c r="J81" s="14">
        <v>0.8</v>
      </c>
      <c r="K81" s="14">
        <v>1047</v>
      </c>
      <c r="L81" s="15">
        <f t="shared" si="2"/>
        <v>1</v>
      </c>
      <c r="M81" s="15">
        <f t="shared" si="3"/>
        <v>1</v>
      </c>
      <c r="N81" s="14">
        <v>30</v>
      </c>
      <c r="O81" s="14">
        <v>120</v>
      </c>
      <c r="P81" s="13" t="s">
        <v>249</v>
      </c>
      <c r="Q81" s="13" t="s">
        <v>157</v>
      </c>
      <c r="R81" s="13" t="s">
        <v>250</v>
      </c>
      <c r="S81" s="13" t="s">
        <v>250</v>
      </c>
      <c r="T81" s="13" t="s">
        <v>26</v>
      </c>
      <c r="U81" s="13" t="s">
        <v>37</v>
      </c>
      <c r="V81" s="13">
        <v>2</v>
      </c>
    </row>
    <row r="82" spans="1:22">
      <c r="A82" s="3">
        <v>80</v>
      </c>
      <c r="B82" s="4">
        <v>190307</v>
      </c>
      <c r="C82" s="4" t="s">
        <v>251</v>
      </c>
      <c r="D82" s="5">
        <v>121.427288360213</v>
      </c>
      <c r="E82" s="5">
        <v>31.1607055942214</v>
      </c>
      <c r="F82" s="6">
        <v>121.427171</v>
      </c>
      <c r="G82" s="6">
        <v>31.160612</v>
      </c>
      <c r="H82" s="7">
        <v>121.427553</v>
      </c>
      <c r="I82" s="7">
        <v>31.160848</v>
      </c>
      <c r="J82" s="14">
        <v>0.384666666666667</v>
      </c>
      <c r="K82" s="14">
        <v>1094</v>
      </c>
      <c r="L82" s="15">
        <f t="shared" si="2"/>
        <v>3</v>
      </c>
      <c r="M82" s="15">
        <f t="shared" si="3"/>
        <v>2</v>
      </c>
      <c r="N82" s="14">
        <v>30</v>
      </c>
      <c r="O82" s="14">
        <v>120</v>
      </c>
      <c r="P82" s="13" t="s">
        <v>252</v>
      </c>
      <c r="Q82" s="13" t="s">
        <v>157</v>
      </c>
      <c r="R82" s="13" t="s">
        <v>253</v>
      </c>
      <c r="S82" s="13" t="s">
        <v>253</v>
      </c>
      <c r="T82" s="13" t="s">
        <v>26</v>
      </c>
      <c r="U82" s="13" t="s">
        <v>37</v>
      </c>
      <c r="V82" s="13">
        <v>2</v>
      </c>
    </row>
    <row r="83" spans="1:22">
      <c r="A83" s="3">
        <v>81</v>
      </c>
      <c r="B83" s="4">
        <v>190307</v>
      </c>
      <c r="C83" s="4" t="s">
        <v>254</v>
      </c>
      <c r="D83" s="5">
        <v>121.392598864133</v>
      </c>
      <c r="E83" s="5">
        <v>31.2956578440152</v>
      </c>
      <c r="F83" s="6">
        <v>121.392529</v>
      </c>
      <c r="G83" s="6">
        <v>31.294813</v>
      </c>
      <c r="H83" s="7">
        <v>121.392556</v>
      </c>
      <c r="I83" s="7">
        <v>31.295352</v>
      </c>
      <c r="J83" s="14">
        <v>0.8</v>
      </c>
      <c r="K83" s="14">
        <v>326</v>
      </c>
      <c r="L83" s="15">
        <f t="shared" si="2"/>
        <v>1</v>
      </c>
      <c r="M83" s="15">
        <f t="shared" si="3"/>
        <v>1</v>
      </c>
      <c r="N83" s="14">
        <v>30</v>
      </c>
      <c r="O83" s="14">
        <v>120</v>
      </c>
      <c r="P83" s="13" t="s">
        <v>255</v>
      </c>
      <c r="Q83" s="13" t="s">
        <v>103</v>
      </c>
      <c r="R83" s="13" t="s">
        <v>241</v>
      </c>
      <c r="S83" s="13" t="s">
        <v>241</v>
      </c>
      <c r="T83" s="13" t="s">
        <v>26</v>
      </c>
      <c r="U83" s="13" t="s">
        <v>37</v>
      </c>
      <c r="V83" s="13">
        <v>2</v>
      </c>
    </row>
    <row r="84" spans="1:22">
      <c r="A84" s="3">
        <v>82</v>
      </c>
      <c r="B84" s="4">
        <v>190307</v>
      </c>
      <c r="C84" s="4" t="s">
        <v>256</v>
      </c>
      <c r="D84" s="5">
        <v>121.40537577296</v>
      </c>
      <c r="E84" s="5">
        <v>31.2473426857401</v>
      </c>
      <c r="F84" s="6">
        <v>121.405154</v>
      </c>
      <c r="G84" s="6">
        <v>31.247332</v>
      </c>
      <c r="H84" s="7">
        <v>121.405669</v>
      </c>
      <c r="I84" s="7">
        <v>31.247361</v>
      </c>
      <c r="J84" s="14">
        <v>0.8</v>
      </c>
      <c r="K84" s="14">
        <v>1298</v>
      </c>
      <c r="L84" s="15">
        <f t="shared" si="2"/>
        <v>1</v>
      </c>
      <c r="M84" s="15">
        <f t="shared" si="3"/>
        <v>1</v>
      </c>
      <c r="N84" s="14">
        <v>30</v>
      </c>
      <c r="O84" s="14">
        <v>120</v>
      </c>
      <c r="P84" s="13" t="s">
        <v>257</v>
      </c>
      <c r="Q84" s="13" t="s">
        <v>103</v>
      </c>
      <c r="R84" s="13" t="s">
        <v>258</v>
      </c>
      <c r="S84" s="13" t="s">
        <v>258</v>
      </c>
      <c r="T84" s="13" t="s">
        <v>26</v>
      </c>
      <c r="U84" s="13" t="s">
        <v>37</v>
      </c>
      <c r="V84" s="13">
        <v>2</v>
      </c>
    </row>
    <row r="85" spans="1:22">
      <c r="A85" s="3">
        <v>83</v>
      </c>
      <c r="B85" s="4">
        <v>190307</v>
      </c>
      <c r="C85" s="4" t="s">
        <v>259</v>
      </c>
      <c r="D85" s="5">
        <v>121.42067796881</v>
      </c>
      <c r="E85" s="5">
        <v>31.1882657220019</v>
      </c>
      <c r="F85" s="6">
        <v>121.420593</v>
      </c>
      <c r="G85" s="6">
        <v>31.188527</v>
      </c>
      <c r="H85" s="7">
        <v>121.420667</v>
      </c>
      <c r="I85" s="7">
        <v>31.188035</v>
      </c>
      <c r="J85" s="14">
        <v>0.8</v>
      </c>
      <c r="K85" s="14">
        <v>1323</v>
      </c>
      <c r="L85" s="15">
        <f t="shared" si="2"/>
        <v>1</v>
      </c>
      <c r="M85" s="15">
        <f t="shared" si="3"/>
        <v>1</v>
      </c>
      <c r="N85" s="14">
        <v>50</v>
      </c>
      <c r="O85" s="14">
        <v>120</v>
      </c>
      <c r="P85" s="13" t="s">
        <v>260</v>
      </c>
      <c r="Q85" s="13" t="s">
        <v>157</v>
      </c>
      <c r="R85" s="13" t="s">
        <v>259</v>
      </c>
      <c r="S85" s="13" t="s">
        <v>261</v>
      </c>
      <c r="T85" s="13" t="s">
        <v>26</v>
      </c>
      <c r="U85" s="13" t="s">
        <v>27</v>
      </c>
      <c r="V85" s="13">
        <v>2</v>
      </c>
    </row>
    <row r="86" spans="1:22">
      <c r="A86" s="3">
        <v>84</v>
      </c>
      <c r="B86" s="4">
        <v>190307</v>
      </c>
      <c r="C86" s="4" t="s">
        <v>262</v>
      </c>
      <c r="D86" s="5">
        <v>121.426796802869</v>
      </c>
      <c r="E86" s="5">
        <v>31.164635970525</v>
      </c>
      <c r="F86" s="6">
        <v>121.427286</v>
      </c>
      <c r="G86" s="6">
        <v>31.164745</v>
      </c>
      <c r="H86" s="7">
        <v>121.426722</v>
      </c>
      <c r="I86" s="7">
        <v>31.164561</v>
      </c>
      <c r="J86" s="14">
        <v>0.8</v>
      </c>
      <c r="K86" s="14">
        <v>1193</v>
      </c>
      <c r="L86" s="15">
        <f t="shared" si="2"/>
        <v>1</v>
      </c>
      <c r="M86" s="15">
        <f t="shared" si="3"/>
        <v>1</v>
      </c>
      <c r="N86" s="14">
        <v>30</v>
      </c>
      <c r="O86" s="14">
        <v>120</v>
      </c>
      <c r="P86" s="13" t="s">
        <v>263</v>
      </c>
      <c r="Q86" s="13" t="s">
        <v>157</v>
      </c>
      <c r="R86" s="13" t="s">
        <v>262</v>
      </c>
      <c r="S86" s="13" t="s">
        <v>264</v>
      </c>
      <c r="T86" s="13" t="s">
        <v>26</v>
      </c>
      <c r="U86" s="13" t="s">
        <v>37</v>
      </c>
      <c r="V86" s="13">
        <v>2</v>
      </c>
    </row>
    <row r="87" spans="1:22">
      <c r="A87" s="3">
        <v>85</v>
      </c>
      <c r="B87" s="4">
        <v>190307</v>
      </c>
      <c r="C87" s="4" t="s">
        <v>265</v>
      </c>
      <c r="D87" s="5">
        <v>121.427399238875</v>
      </c>
      <c r="E87" s="5">
        <v>31.1631029832989</v>
      </c>
      <c r="F87" s="6">
        <v>121.427823</v>
      </c>
      <c r="G87" s="6">
        <v>31.163251</v>
      </c>
      <c r="H87" s="7">
        <v>121.427258</v>
      </c>
      <c r="I87" s="7">
        <v>31.163061</v>
      </c>
      <c r="J87" s="14">
        <v>0.8</v>
      </c>
      <c r="K87" s="14">
        <v>1190</v>
      </c>
      <c r="L87" s="15">
        <f t="shared" si="2"/>
        <v>1</v>
      </c>
      <c r="M87" s="15">
        <f t="shared" si="3"/>
        <v>1</v>
      </c>
      <c r="N87" s="14">
        <v>30</v>
      </c>
      <c r="O87" s="14">
        <v>120</v>
      </c>
      <c r="P87" s="13" t="s">
        <v>266</v>
      </c>
      <c r="Q87" s="13" t="s">
        <v>157</v>
      </c>
      <c r="R87" s="13" t="s">
        <v>267</v>
      </c>
      <c r="S87" s="13" t="s">
        <v>267</v>
      </c>
      <c r="T87" s="13" t="s">
        <v>26</v>
      </c>
      <c r="U87" s="13" t="s">
        <v>37</v>
      </c>
      <c r="V87" s="13">
        <v>2</v>
      </c>
    </row>
    <row r="88" spans="1:22">
      <c r="A88" s="3">
        <v>86</v>
      </c>
      <c r="B88" s="4">
        <v>190307</v>
      </c>
      <c r="C88" s="4" t="s">
        <v>268</v>
      </c>
      <c r="D88" s="5">
        <v>121.405658</v>
      </c>
      <c r="E88" s="5">
        <v>31.248596</v>
      </c>
      <c r="F88" s="6">
        <v>121.405706</v>
      </c>
      <c r="G88" s="6">
        <v>31.24839</v>
      </c>
      <c r="H88" s="7">
        <v>121.405603</v>
      </c>
      <c r="I88" s="7">
        <v>31.248809</v>
      </c>
      <c r="J88" s="14">
        <v>0.8</v>
      </c>
      <c r="K88" s="14">
        <v>1290</v>
      </c>
      <c r="L88" s="15">
        <f t="shared" si="2"/>
        <v>1</v>
      </c>
      <c r="M88" s="15">
        <f t="shared" si="3"/>
        <v>1</v>
      </c>
      <c r="N88" s="14">
        <v>30</v>
      </c>
      <c r="O88" s="14">
        <v>120</v>
      </c>
      <c r="P88" s="13" t="s">
        <v>269</v>
      </c>
      <c r="Q88" s="13" t="s">
        <v>103</v>
      </c>
      <c r="R88" s="13" t="s">
        <v>270</v>
      </c>
      <c r="S88" s="13" t="s">
        <v>270</v>
      </c>
      <c r="T88" s="13" t="s">
        <v>26</v>
      </c>
      <c r="U88" s="13" t="s">
        <v>37</v>
      </c>
      <c r="V88" s="13">
        <v>2</v>
      </c>
    </row>
    <row r="89" spans="1:22">
      <c r="A89" s="3">
        <v>87</v>
      </c>
      <c r="B89" s="4">
        <v>190307</v>
      </c>
      <c r="C89" s="4" t="s">
        <v>271</v>
      </c>
      <c r="D89" s="5">
        <v>121.426123581513</v>
      </c>
      <c r="E89" s="5">
        <v>31.1689603136915</v>
      </c>
      <c r="F89" s="6">
        <v>121.426372</v>
      </c>
      <c r="G89" s="6">
        <v>31.168977</v>
      </c>
      <c r="H89" s="7">
        <v>121.425998</v>
      </c>
      <c r="I89" s="7">
        <v>31.168958</v>
      </c>
      <c r="J89" s="14">
        <v>0.8</v>
      </c>
      <c r="K89" s="14">
        <v>1372</v>
      </c>
      <c r="L89" s="15">
        <f t="shared" si="2"/>
        <v>1</v>
      </c>
      <c r="M89" s="15">
        <f t="shared" si="3"/>
        <v>1</v>
      </c>
      <c r="N89" s="14">
        <v>30</v>
      </c>
      <c r="O89" s="14">
        <v>120</v>
      </c>
      <c r="P89" s="13" t="s">
        <v>272</v>
      </c>
      <c r="Q89" s="13" t="s">
        <v>157</v>
      </c>
      <c r="R89" s="13" t="s">
        <v>273</v>
      </c>
      <c r="S89" s="13" t="s">
        <v>273</v>
      </c>
      <c r="T89" s="13" t="s">
        <v>26</v>
      </c>
      <c r="U89" s="13" t="s">
        <v>37</v>
      </c>
      <c r="V89" s="13">
        <v>2</v>
      </c>
    </row>
    <row r="90" spans="1:22">
      <c r="A90" s="3">
        <v>88</v>
      </c>
      <c r="B90" s="4">
        <v>190307</v>
      </c>
      <c r="C90" s="4" t="s">
        <v>274</v>
      </c>
      <c r="D90" s="5">
        <v>121.399754349416</v>
      </c>
      <c r="E90" s="5">
        <v>31.2772014869976</v>
      </c>
      <c r="F90" s="6">
        <v>121.3998</v>
      </c>
      <c r="G90" s="6">
        <v>31.277144</v>
      </c>
      <c r="H90" s="7">
        <v>121.399632</v>
      </c>
      <c r="I90" s="7">
        <v>31.277386</v>
      </c>
      <c r="J90" s="14">
        <v>0.8</v>
      </c>
      <c r="K90" s="14">
        <v>765</v>
      </c>
      <c r="L90" s="15">
        <f t="shared" si="2"/>
        <v>1</v>
      </c>
      <c r="M90" s="15">
        <f t="shared" si="3"/>
        <v>1</v>
      </c>
      <c r="N90" s="14">
        <v>30</v>
      </c>
      <c r="O90" s="14">
        <v>120</v>
      </c>
      <c r="P90" s="13" t="s">
        <v>275</v>
      </c>
      <c r="Q90" s="13" t="s">
        <v>103</v>
      </c>
      <c r="R90" s="13" t="s">
        <v>276</v>
      </c>
      <c r="S90" s="13" t="s">
        <v>276</v>
      </c>
      <c r="T90" s="13" t="s">
        <v>26</v>
      </c>
      <c r="U90" s="13" t="s">
        <v>37</v>
      </c>
      <c r="V90" s="13">
        <v>2</v>
      </c>
    </row>
    <row r="91" spans="1:22">
      <c r="A91" s="3">
        <v>89</v>
      </c>
      <c r="B91" s="4">
        <v>190307</v>
      </c>
      <c r="C91" s="4" t="s">
        <v>277</v>
      </c>
      <c r="D91" s="5">
        <v>121.394975598528</v>
      </c>
      <c r="E91" s="5">
        <v>31.2969975943854</v>
      </c>
      <c r="F91" s="6">
        <v>121.395207</v>
      </c>
      <c r="G91" s="6">
        <v>31.296974</v>
      </c>
      <c r="H91" s="7">
        <v>121.394685</v>
      </c>
      <c r="I91" s="7">
        <v>31.29701</v>
      </c>
      <c r="J91" s="14">
        <v>0.8</v>
      </c>
      <c r="K91" s="14">
        <v>362</v>
      </c>
      <c r="L91" s="15">
        <f t="shared" si="2"/>
        <v>1</v>
      </c>
      <c r="M91" s="15">
        <f t="shared" si="3"/>
        <v>1</v>
      </c>
      <c r="N91" s="14">
        <v>30</v>
      </c>
      <c r="O91" s="14">
        <v>120</v>
      </c>
      <c r="P91" s="13" t="s">
        <v>278</v>
      </c>
      <c r="Q91" s="13" t="s">
        <v>103</v>
      </c>
      <c r="R91" s="13" t="s">
        <v>277</v>
      </c>
      <c r="S91" s="13" t="s">
        <v>279</v>
      </c>
      <c r="T91" s="13" t="s">
        <v>26</v>
      </c>
      <c r="U91" s="13" t="s">
        <v>37</v>
      </c>
      <c r="V91" s="13">
        <v>2</v>
      </c>
    </row>
    <row r="92" spans="1:22">
      <c r="A92" s="3">
        <v>90</v>
      </c>
      <c r="B92" s="4">
        <v>190307</v>
      </c>
      <c r="C92" s="4" t="s">
        <v>280</v>
      </c>
      <c r="D92" s="5">
        <v>121.398869372195</v>
      </c>
      <c r="E92" s="5">
        <v>31.2820651057652</v>
      </c>
      <c r="F92" s="6">
        <v>121.398439</v>
      </c>
      <c r="G92" s="6">
        <v>31.282044</v>
      </c>
      <c r="H92" s="7">
        <v>121.397998</v>
      </c>
      <c r="I92" s="7">
        <v>31.282048</v>
      </c>
      <c r="J92" s="14">
        <v>0.8</v>
      </c>
      <c r="K92" s="14">
        <v>767</v>
      </c>
      <c r="L92" s="15">
        <f t="shared" si="2"/>
        <v>1</v>
      </c>
      <c r="M92" s="15">
        <f t="shared" si="3"/>
        <v>1</v>
      </c>
      <c r="N92" s="14">
        <v>50</v>
      </c>
      <c r="O92" s="14">
        <v>120</v>
      </c>
      <c r="P92" s="13" t="s">
        <v>281</v>
      </c>
      <c r="Q92" s="13" t="s">
        <v>103</v>
      </c>
      <c r="R92" s="13" t="s">
        <v>282</v>
      </c>
      <c r="S92" s="13" t="s">
        <v>282</v>
      </c>
      <c r="T92" s="13" t="s">
        <v>26</v>
      </c>
      <c r="U92" s="13" t="s">
        <v>27</v>
      </c>
      <c r="V92" s="13">
        <v>2</v>
      </c>
    </row>
    <row r="93" spans="1:22">
      <c r="A93" s="3">
        <v>91</v>
      </c>
      <c r="B93" s="4">
        <v>190307</v>
      </c>
      <c r="C93" s="4" t="s">
        <v>283</v>
      </c>
      <c r="D93" s="5">
        <v>121.398255</v>
      </c>
      <c r="E93" s="5">
        <v>31.285328</v>
      </c>
      <c r="F93" s="6">
        <v>121.398239</v>
      </c>
      <c r="G93" s="6">
        <v>31.285203</v>
      </c>
      <c r="H93" s="7">
        <v>121.398275</v>
      </c>
      <c r="I93" s="7">
        <v>31.285491</v>
      </c>
      <c r="J93" s="14">
        <v>0.8</v>
      </c>
      <c r="K93" s="14">
        <v>530</v>
      </c>
      <c r="L93" s="15">
        <f t="shared" si="2"/>
        <v>1</v>
      </c>
      <c r="M93" s="15">
        <f t="shared" si="3"/>
        <v>1</v>
      </c>
      <c r="N93" s="14">
        <v>30</v>
      </c>
      <c r="O93" s="14">
        <v>120</v>
      </c>
      <c r="P93" s="13" t="s">
        <v>284</v>
      </c>
      <c r="Q93" s="13" t="s">
        <v>103</v>
      </c>
      <c r="R93" s="13" t="s">
        <v>283</v>
      </c>
      <c r="S93" s="13" t="s">
        <v>276</v>
      </c>
      <c r="T93" s="13" t="s">
        <v>26</v>
      </c>
      <c r="U93" s="13" t="s">
        <v>37</v>
      </c>
      <c r="V93" s="13">
        <v>2</v>
      </c>
    </row>
    <row r="94" spans="1:22">
      <c r="A94" s="3">
        <v>92</v>
      </c>
      <c r="B94" s="4">
        <v>190307</v>
      </c>
      <c r="C94" s="4" t="s">
        <v>285</v>
      </c>
      <c r="D94" s="5">
        <v>121.398410441776</v>
      </c>
      <c r="E94" s="5">
        <v>31.2840986060087</v>
      </c>
      <c r="F94" s="6">
        <v>121.398292</v>
      </c>
      <c r="G94" s="6">
        <v>31.28406</v>
      </c>
      <c r="H94" s="7">
        <v>121.398579</v>
      </c>
      <c r="I94" s="7">
        <v>31.284141</v>
      </c>
      <c r="J94" s="14">
        <v>0.8</v>
      </c>
      <c r="K94" s="14">
        <v>563</v>
      </c>
      <c r="L94" s="15">
        <f t="shared" si="2"/>
        <v>1</v>
      </c>
      <c r="M94" s="15">
        <f t="shared" si="3"/>
        <v>1</v>
      </c>
      <c r="N94" s="14">
        <v>30</v>
      </c>
      <c r="O94" s="14">
        <v>120</v>
      </c>
      <c r="P94" s="13" t="s">
        <v>286</v>
      </c>
      <c r="Q94" s="13" t="s">
        <v>103</v>
      </c>
      <c r="R94" s="13" t="s">
        <v>287</v>
      </c>
      <c r="S94" s="13" t="s">
        <v>287</v>
      </c>
      <c r="T94" s="13" t="s">
        <v>26</v>
      </c>
      <c r="U94" s="13" t="s">
        <v>37</v>
      </c>
      <c r="V94" s="13">
        <v>2</v>
      </c>
    </row>
    <row r="95" spans="1:22">
      <c r="A95" s="3">
        <v>93</v>
      </c>
      <c r="B95" s="4">
        <v>190307</v>
      </c>
      <c r="C95" s="4" t="s">
        <v>288</v>
      </c>
      <c r="D95" s="5">
        <v>121.3882197712</v>
      </c>
      <c r="E95" s="5">
        <v>31.323817701977</v>
      </c>
      <c r="F95" s="6">
        <v>121.38828</v>
      </c>
      <c r="G95" s="6">
        <v>31.324112</v>
      </c>
      <c r="H95" s="7">
        <v>121.38823</v>
      </c>
      <c r="I95" s="7">
        <v>31.323593</v>
      </c>
      <c r="J95" s="14">
        <v>0.8</v>
      </c>
      <c r="K95" s="14">
        <v>1005</v>
      </c>
      <c r="L95" s="15">
        <f t="shared" si="2"/>
        <v>1</v>
      </c>
      <c r="M95" s="15">
        <f t="shared" si="3"/>
        <v>1</v>
      </c>
      <c r="N95" s="14">
        <v>60</v>
      </c>
      <c r="O95" s="14">
        <v>140</v>
      </c>
      <c r="P95" s="13" t="s">
        <v>289</v>
      </c>
      <c r="Q95" s="13" t="s">
        <v>165</v>
      </c>
      <c r="R95" s="13" t="s">
        <v>290</v>
      </c>
      <c r="S95" s="13" t="s">
        <v>290</v>
      </c>
      <c r="T95" s="13" t="s">
        <v>26</v>
      </c>
      <c r="U95" s="13" t="s">
        <v>64</v>
      </c>
      <c r="V95" s="13">
        <v>4</v>
      </c>
    </row>
    <row r="96" spans="1:22">
      <c r="A96" s="3">
        <v>94</v>
      </c>
      <c r="B96" s="4">
        <v>190307</v>
      </c>
      <c r="C96" s="4" t="s">
        <v>291</v>
      </c>
      <c r="D96" s="5">
        <v>121.40716110264</v>
      </c>
      <c r="E96" s="5">
        <v>31.2506555037437</v>
      </c>
      <c r="F96" s="6">
        <v>121.406981</v>
      </c>
      <c r="G96" s="6">
        <v>31.250518</v>
      </c>
      <c r="H96" s="7">
        <v>121.407701</v>
      </c>
      <c r="I96" s="7">
        <v>31.25052</v>
      </c>
      <c r="J96" s="14">
        <v>0.8</v>
      </c>
      <c r="K96" s="14">
        <v>1279</v>
      </c>
      <c r="L96" s="15">
        <f t="shared" si="2"/>
        <v>1</v>
      </c>
      <c r="M96" s="15">
        <f t="shared" si="3"/>
        <v>1</v>
      </c>
      <c r="N96" s="14">
        <v>60</v>
      </c>
      <c r="O96" s="14">
        <v>140</v>
      </c>
      <c r="P96" s="13" t="s">
        <v>292</v>
      </c>
      <c r="Q96" s="13" t="s">
        <v>103</v>
      </c>
      <c r="R96" s="13" t="s">
        <v>233</v>
      </c>
      <c r="S96" s="13" t="s">
        <v>233</v>
      </c>
      <c r="T96" s="13" t="s">
        <v>26</v>
      </c>
      <c r="U96" s="13" t="s">
        <v>64</v>
      </c>
      <c r="V96" s="13">
        <v>4</v>
      </c>
    </row>
    <row r="97" spans="1:22">
      <c r="A97" s="3">
        <v>95</v>
      </c>
      <c r="B97" s="4">
        <v>190307</v>
      </c>
      <c r="C97" s="4" t="s">
        <v>293</v>
      </c>
      <c r="D97" s="5">
        <v>121.400955439963</v>
      </c>
      <c r="E97" s="5">
        <v>31.2749131627158</v>
      </c>
      <c r="F97" s="6">
        <v>121.400694</v>
      </c>
      <c r="G97" s="6">
        <v>31.27485</v>
      </c>
      <c r="H97" s="7">
        <v>121.401358</v>
      </c>
      <c r="I97" s="7">
        <v>31.274904</v>
      </c>
      <c r="J97" s="14">
        <v>0.8</v>
      </c>
      <c r="K97" s="14">
        <v>895</v>
      </c>
      <c r="L97" s="15">
        <f t="shared" si="2"/>
        <v>1</v>
      </c>
      <c r="M97" s="15">
        <f t="shared" si="3"/>
        <v>1</v>
      </c>
      <c r="N97" s="14">
        <v>60</v>
      </c>
      <c r="O97" s="14">
        <v>140</v>
      </c>
      <c r="P97" s="13" t="s">
        <v>294</v>
      </c>
      <c r="Q97" s="13" t="s">
        <v>103</v>
      </c>
      <c r="R97" s="13" t="s">
        <v>293</v>
      </c>
      <c r="S97" s="13" t="s">
        <v>295</v>
      </c>
      <c r="T97" s="13" t="s">
        <v>26</v>
      </c>
      <c r="U97" s="13" t="s">
        <v>64</v>
      </c>
      <c r="V97" s="13">
        <v>4</v>
      </c>
    </row>
    <row r="98" spans="1:22">
      <c r="A98" s="3">
        <v>96</v>
      </c>
      <c r="B98" s="4">
        <v>190307</v>
      </c>
      <c r="C98" s="4" t="s">
        <v>296</v>
      </c>
      <c r="D98" s="5">
        <v>121.407023887378</v>
      </c>
      <c r="E98" s="5">
        <v>31.2542715180898</v>
      </c>
      <c r="F98" s="6">
        <v>121.406784</v>
      </c>
      <c r="G98" s="6">
        <v>31.254258</v>
      </c>
      <c r="H98" s="7">
        <v>121.407184</v>
      </c>
      <c r="I98" s="7">
        <v>31.254256</v>
      </c>
      <c r="J98" s="14">
        <v>0.8</v>
      </c>
      <c r="K98" s="14">
        <v>1294</v>
      </c>
      <c r="L98" s="15">
        <f t="shared" si="2"/>
        <v>1</v>
      </c>
      <c r="M98" s="15">
        <f t="shared" si="3"/>
        <v>1</v>
      </c>
      <c r="N98" s="14">
        <v>30</v>
      </c>
      <c r="O98" s="14">
        <v>120</v>
      </c>
      <c r="P98" s="13" t="s">
        <v>297</v>
      </c>
      <c r="Q98" s="13" t="s">
        <v>103</v>
      </c>
      <c r="R98" s="13" t="s">
        <v>296</v>
      </c>
      <c r="S98" s="13" t="s">
        <v>298</v>
      </c>
      <c r="T98" s="13" t="s">
        <v>26</v>
      </c>
      <c r="U98" s="13" t="s">
        <v>37</v>
      </c>
      <c r="V98" s="13">
        <v>2</v>
      </c>
    </row>
    <row r="99" spans="1:22">
      <c r="A99" s="3">
        <v>97</v>
      </c>
      <c r="B99" s="4">
        <v>190307</v>
      </c>
      <c r="C99" s="4" t="s">
        <v>299</v>
      </c>
      <c r="D99" s="5">
        <v>121.403126</v>
      </c>
      <c r="E99" s="5">
        <v>31.27049</v>
      </c>
      <c r="F99" s="6">
        <v>121.40293</v>
      </c>
      <c r="G99" s="6">
        <v>31.270512</v>
      </c>
      <c r="H99" s="7">
        <v>121.403343</v>
      </c>
      <c r="I99" s="7">
        <v>31.270455</v>
      </c>
      <c r="J99" s="14">
        <v>0.8</v>
      </c>
      <c r="K99" s="14">
        <v>1055</v>
      </c>
      <c r="L99" s="15">
        <f t="shared" si="2"/>
        <v>1</v>
      </c>
      <c r="M99" s="15">
        <f t="shared" si="3"/>
        <v>1</v>
      </c>
      <c r="N99" s="14">
        <v>50</v>
      </c>
      <c r="O99" s="14">
        <v>120</v>
      </c>
      <c r="P99" s="13" t="s">
        <v>300</v>
      </c>
      <c r="Q99" s="13" t="s">
        <v>103</v>
      </c>
      <c r="R99" s="13" t="s">
        <v>301</v>
      </c>
      <c r="S99" s="13" t="s">
        <v>301</v>
      </c>
      <c r="T99" s="13" t="s">
        <v>26</v>
      </c>
      <c r="U99" s="13" t="s">
        <v>27</v>
      </c>
      <c r="V99" s="13">
        <v>2</v>
      </c>
    </row>
    <row r="100" spans="1:22">
      <c r="A100" s="3">
        <v>98</v>
      </c>
      <c r="B100" s="4">
        <v>190307</v>
      </c>
      <c r="C100" s="4" t="s">
        <v>302</v>
      </c>
      <c r="D100" s="5">
        <v>121.386146059706</v>
      </c>
      <c r="E100" s="5">
        <v>31.3361125718411</v>
      </c>
      <c r="F100" s="6">
        <v>121.385893</v>
      </c>
      <c r="G100" s="6">
        <v>31.336656</v>
      </c>
      <c r="H100" s="7">
        <v>121.386397</v>
      </c>
      <c r="I100" s="7">
        <v>31.335535</v>
      </c>
      <c r="J100" s="14">
        <v>0.8</v>
      </c>
      <c r="K100" s="14">
        <v>288</v>
      </c>
      <c r="L100" s="15">
        <f t="shared" si="2"/>
        <v>1</v>
      </c>
      <c r="M100" s="15">
        <f t="shared" si="3"/>
        <v>1</v>
      </c>
      <c r="N100" s="14">
        <v>60</v>
      </c>
      <c r="O100" s="14">
        <v>140</v>
      </c>
      <c r="P100" s="13" t="s">
        <v>303</v>
      </c>
      <c r="Q100" s="13" t="s">
        <v>165</v>
      </c>
      <c r="R100" s="13" t="s">
        <v>290</v>
      </c>
      <c r="S100" s="13" t="s">
        <v>290</v>
      </c>
      <c r="T100" s="13" t="s">
        <v>304</v>
      </c>
      <c r="U100" s="13" t="s">
        <v>64</v>
      </c>
      <c r="V100" s="13">
        <v>4</v>
      </c>
    </row>
    <row r="101" spans="1:22">
      <c r="A101" s="3">
        <v>99</v>
      </c>
      <c r="B101" s="4">
        <v>190306</v>
      </c>
      <c r="C101" s="4" t="s">
        <v>305</v>
      </c>
      <c r="D101" s="5">
        <v>121.418507146409</v>
      </c>
      <c r="E101" s="5">
        <v>31.2120398201626</v>
      </c>
      <c r="F101" s="6">
        <v>121.418561</v>
      </c>
      <c r="G101" s="6">
        <v>31.211706</v>
      </c>
      <c r="H101" s="7">
        <v>121.41842</v>
      </c>
      <c r="I101" s="7">
        <v>31.212567</v>
      </c>
      <c r="J101" s="14">
        <v>0.8</v>
      </c>
      <c r="K101" s="14">
        <v>1641</v>
      </c>
      <c r="L101" s="15">
        <f t="shared" si="2"/>
        <v>1</v>
      </c>
      <c r="M101" s="15">
        <f t="shared" si="3"/>
        <v>1</v>
      </c>
      <c r="N101" s="14">
        <v>80</v>
      </c>
      <c r="O101" s="14">
        <v>160</v>
      </c>
      <c r="P101" s="13" t="s">
        <v>306</v>
      </c>
      <c r="Q101" s="13" t="s">
        <v>24</v>
      </c>
      <c r="R101" s="13" t="s">
        <v>307</v>
      </c>
      <c r="S101" s="13" t="s">
        <v>308</v>
      </c>
      <c r="T101" s="13" t="s">
        <v>95</v>
      </c>
      <c r="U101" s="13" t="s">
        <v>31</v>
      </c>
      <c r="V101" s="13">
        <v>4</v>
      </c>
    </row>
    <row r="102" spans="1:22">
      <c r="A102" s="3">
        <v>100</v>
      </c>
      <c r="B102" s="4">
        <v>190307</v>
      </c>
      <c r="C102" s="4" t="s">
        <v>309</v>
      </c>
      <c r="D102" s="5">
        <v>121.385931176434</v>
      </c>
      <c r="E102" s="5">
        <v>31.3387022479964</v>
      </c>
      <c r="F102" s="6">
        <v>121.386127</v>
      </c>
      <c r="G102" s="6">
        <v>31.338791</v>
      </c>
      <c r="H102" s="7">
        <v>121.385773</v>
      </c>
      <c r="I102" s="7">
        <v>31.338607</v>
      </c>
      <c r="J102" s="14">
        <v>0.8</v>
      </c>
      <c r="K102" s="14">
        <v>217</v>
      </c>
      <c r="L102" s="15">
        <f t="shared" si="2"/>
        <v>1</v>
      </c>
      <c r="M102" s="15">
        <f t="shared" si="3"/>
        <v>1</v>
      </c>
      <c r="N102" s="14">
        <v>30</v>
      </c>
      <c r="O102" s="14">
        <v>120</v>
      </c>
      <c r="P102" s="13" t="s">
        <v>310</v>
      </c>
      <c r="Q102" s="13" t="s">
        <v>165</v>
      </c>
      <c r="R102" s="13" t="s">
        <v>311</v>
      </c>
      <c r="S102" s="13" t="s">
        <v>311</v>
      </c>
      <c r="T102" s="13" t="s">
        <v>26</v>
      </c>
      <c r="U102" s="13" t="s">
        <v>37</v>
      </c>
      <c r="V102" s="13">
        <v>2</v>
      </c>
    </row>
    <row r="103" spans="1:22">
      <c r="A103" s="3">
        <v>101</v>
      </c>
      <c r="B103" s="4">
        <v>190307</v>
      </c>
      <c r="C103" s="4" t="s">
        <v>312</v>
      </c>
      <c r="D103" s="5">
        <v>121.398990750901</v>
      </c>
      <c r="E103" s="5">
        <v>31.2882237014879</v>
      </c>
      <c r="F103" s="6">
        <v>121.399415</v>
      </c>
      <c r="G103" s="6">
        <v>31.288213</v>
      </c>
      <c r="H103" s="7">
        <v>121.3988</v>
      </c>
      <c r="I103" s="7">
        <v>31.288276</v>
      </c>
      <c r="J103" s="14">
        <v>0.8</v>
      </c>
      <c r="K103" s="14">
        <v>495</v>
      </c>
      <c r="L103" s="15">
        <f t="shared" si="2"/>
        <v>1</v>
      </c>
      <c r="M103" s="15">
        <f t="shared" si="3"/>
        <v>1</v>
      </c>
      <c r="N103" s="14">
        <v>50</v>
      </c>
      <c r="O103" s="14">
        <v>120</v>
      </c>
      <c r="P103" s="13" t="s">
        <v>313</v>
      </c>
      <c r="Q103" s="13" t="s">
        <v>103</v>
      </c>
      <c r="R103" s="13" t="s">
        <v>312</v>
      </c>
      <c r="S103" s="13" t="s">
        <v>247</v>
      </c>
      <c r="T103" s="13" t="s">
        <v>26</v>
      </c>
      <c r="U103" s="13" t="s">
        <v>27</v>
      </c>
      <c r="V103" s="13">
        <v>2</v>
      </c>
    </row>
    <row r="104" spans="1:22">
      <c r="A104" s="3">
        <v>102</v>
      </c>
      <c r="B104" s="4">
        <v>190307</v>
      </c>
      <c r="C104" s="4" t="s">
        <v>314</v>
      </c>
      <c r="D104" s="5">
        <v>121.410579424802</v>
      </c>
      <c r="E104" s="5">
        <v>31.2440725845561</v>
      </c>
      <c r="F104" s="6">
        <v>121.410666</v>
      </c>
      <c r="G104" s="6">
        <v>31.24401</v>
      </c>
      <c r="H104" s="7">
        <v>121.41044</v>
      </c>
      <c r="I104" s="7">
        <v>31.244165</v>
      </c>
      <c r="J104" s="14">
        <v>0.8</v>
      </c>
      <c r="K104" s="14">
        <v>1475</v>
      </c>
      <c r="L104" s="15">
        <f t="shared" si="2"/>
        <v>1</v>
      </c>
      <c r="M104" s="15">
        <f t="shared" si="3"/>
        <v>1</v>
      </c>
      <c r="N104" s="14">
        <v>30</v>
      </c>
      <c r="O104" s="14">
        <v>120</v>
      </c>
      <c r="P104" s="13" t="s">
        <v>315</v>
      </c>
      <c r="Q104" s="13" t="s">
        <v>103</v>
      </c>
      <c r="R104" s="13" t="s">
        <v>314</v>
      </c>
      <c r="S104" s="13" t="s">
        <v>316</v>
      </c>
      <c r="T104" s="13" t="s">
        <v>26</v>
      </c>
      <c r="U104" s="13" t="s">
        <v>37</v>
      </c>
      <c r="V104" s="13">
        <v>2</v>
      </c>
    </row>
    <row r="105" spans="1:22">
      <c r="A105" s="3">
        <v>103</v>
      </c>
      <c r="B105" s="4">
        <v>190307</v>
      </c>
      <c r="C105" s="4" t="s">
        <v>317</v>
      </c>
      <c r="D105" s="5">
        <v>121.407471948258</v>
      </c>
      <c r="E105" s="5">
        <v>31.2565656236133</v>
      </c>
      <c r="F105" s="6">
        <v>121.407074</v>
      </c>
      <c r="G105" s="6">
        <v>31.256581</v>
      </c>
      <c r="H105" s="7">
        <v>121.407679</v>
      </c>
      <c r="I105" s="7">
        <v>31.256617</v>
      </c>
      <c r="J105" s="14">
        <v>0.8</v>
      </c>
      <c r="K105" s="14">
        <v>1319</v>
      </c>
      <c r="L105" s="15">
        <f t="shared" si="2"/>
        <v>1</v>
      </c>
      <c r="M105" s="15">
        <f t="shared" si="3"/>
        <v>1</v>
      </c>
      <c r="N105" s="14">
        <v>50</v>
      </c>
      <c r="O105" s="14">
        <v>120</v>
      </c>
      <c r="P105" s="13" t="s">
        <v>318</v>
      </c>
      <c r="Q105" s="13" t="s">
        <v>103</v>
      </c>
      <c r="R105" s="13" t="s">
        <v>319</v>
      </c>
      <c r="S105" s="13" t="s">
        <v>319</v>
      </c>
      <c r="T105" s="13" t="s">
        <v>26</v>
      </c>
      <c r="U105" s="13" t="s">
        <v>27</v>
      </c>
      <c r="V105" s="13">
        <v>2</v>
      </c>
    </row>
    <row r="106" spans="1:22">
      <c r="A106" s="3">
        <v>104</v>
      </c>
      <c r="B106" s="4">
        <v>190307</v>
      </c>
      <c r="C106" s="4" t="s">
        <v>320</v>
      </c>
      <c r="D106" s="5">
        <v>121.41239</v>
      </c>
      <c r="E106" s="5">
        <v>31.240573</v>
      </c>
      <c r="F106" s="6">
        <v>121.412434</v>
      </c>
      <c r="G106" s="6">
        <v>31.240477</v>
      </c>
      <c r="H106" s="7">
        <v>121.412344</v>
      </c>
      <c r="I106" s="7">
        <v>31.240691</v>
      </c>
      <c r="J106" s="14">
        <v>0.8</v>
      </c>
      <c r="K106" s="14">
        <v>1554</v>
      </c>
      <c r="L106" s="15">
        <f t="shared" si="2"/>
        <v>1</v>
      </c>
      <c r="M106" s="15">
        <f t="shared" si="3"/>
        <v>1</v>
      </c>
      <c r="N106" s="14">
        <v>30</v>
      </c>
      <c r="O106" s="14">
        <v>120</v>
      </c>
      <c r="P106" s="13" t="s">
        <v>321</v>
      </c>
      <c r="Q106" s="13" t="s">
        <v>103</v>
      </c>
      <c r="R106" s="13" t="s">
        <v>320</v>
      </c>
      <c r="S106" s="13" t="s">
        <v>322</v>
      </c>
      <c r="T106" s="13" t="s">
        <v>26</v>
      </c>
      <c r="U106" s="13" t="s">
        <v>37</v>
      </c>
      <c r="V106" s="13">
        <v>2</v>
      </c>
    </row>
    <row r="107" spans="1:22">
      <c r="A107" s="3">
        <v>105</v>
      </c>
      <c r="B107" s="4">
        <v>190307</v>
      </c>
      <c r="C107" s="4" t="s">
        <v>323</v>
      </c>
      <c r="D107" s="5">
        <v>121.435151426886</v>
      </c>
      <c r="E107" s="5">
        <v>31.1522352145678</v>
      </c>
      <c r="F107" s="6">
        <v>121.43512</v>
      </c>
      <c r="G107" s="6">
        <v>31.151983</v>
      </c>
      <c r="H107" s="7">
        <v>121.435051</v>
      </c>
      <c r="I107" s="7">
        <v>31.15251</v>
      </c>
      <c r="J107" s="14">
        <v>0.8</v>
      </c>
      <c r="K107" s="14">
        <v>1175</v>
      </c>
      <c r="L107" s="15">
        <f t="shared" si="2"/>
        <v>1</v>
      </c>
      <c r="M107" s="15">
        <f t="shared" si="3"/>
        <v>1</v>
      </c>
      <c r="N107" s="14">
        <v>50</v>
      </c>
      <c r="O107" s="14">
        <v>120</v>
      </c>
      <c r="P107" s="13" t="s">
        <v>324</v>
      </c>
      <c r="Q107" s="13" t="s">
        <v>157</v>
      </c>
      <c r="R107" s="13" t="s">
        <v>325</v>
      </c>
      <c r="S107" s="13" t="s">
        <v>325</v>
      </c>
      <c r="T107" s="13" t="s">
        <v>26</v>
      </c>
      <c r="U107" s="13" t="s">
        <v>27</v>
      </c>
      <c r="V107" s="13">
        <v>2</v>
      </c>
    </row>
    <row r="108" spans="1:22">
      <c r="A108" s="3">
        <v>106</v>
      </c>
      <c r="B108" s="4">
        <v>190307</v>
      </c>
      <c r="C108" s="4" t="s">
        <v>326</v>
      </c>
      <c r="D108" s="5">
        <v>121.411016</v>
      </c>
      <c r="E108" s="5">
        <v>31.245973</v>
      </c>
      <c r="F108" s="6">
        <v>121.411104</v>
      </c>
      <c r="G108" s="6">
        <v>31.245906</v>
      </c>
      <c r="H108" s="7">
        <v>121.410854</v>
      </c>
      <c r="I108" s="7">
        <v>31.246079</v>
      </c>
      <c r="J108" s="14">
        <v>0.8</v>
      </c>
      <c r="K108" s="14">
        <v>1383</v>
      </c>
      <c r="L108" s="15">
        <f t="shared" si="2"/>
        <v>1</v>
      </c>
      <c r="M108" s="15">
        <f t="shared" si="3"/>
        <v>1</v>
      </c>
      <c r="N108" s="14">
        <v>30</v>
      </c>
      <c r="O108" s="14">
        <v>120</v>
      </c>
      <c r="P108" s="13" t="s">
        <v>327</v>
      </c>
      <c r="Q108" s="13" t="s">
        <v>103</v>
      </c>
      <c r="R108" s="13" t="s">
        <v>328</v>
      </c>
      <c r="S108" s="13" t="s">
        <v>328</v>
      </c>
      <c r="T108" s="13" t="s">
        <v>26</v>
      </c>
      <c r="U108" s="13" t="s">
        <v>37</v>
      </c>
      <c r="V108" s="13">
        <v>2</v>
      </c>
    </row>
    <row r="109" spans="1:22">
      <c r="A109" s="3">
        <v>107</v>
      </c>
      <c r="B109" s="4">
        <v>190310</v>
      </c>
      <c r="C109" s="4" t="s">
        <v>329</v>
      </c>
      <c r="D109" s="5">
        <v>121.410181501513</v>
      </c>
      <c r="E109" s="5">
        <v>31.2506724534253</v>
      </c>
      <c r="F109" s="6">
        <v>121.410757</v>
      </c>
      <c r="G109" s="6">
        <v>31.250734</v>
      </c>
      <c r="H109" s="7">
        <v>121.40966</v>
      </c>
      <c r="I109" s="7">
        <v>31.250632</v>
      </c>
      <c r="J109" s="14">
        <v>0.8</v>
      </c>
      <c r="K109" s="14">
        <v>1331</v>
      </c>
      <c r="L109" s="15">
        <f t="shared" si="2"/>
        <v>1</v>
      </c>
      <c r="M109" s="15">
        <f t="shared" si="3"/>
        <v>1</v>
      </c>
      <c r="N109" s="14">
        <v>30</v>
      </c>
      <c r="O109" s="14">
        <v>120</v>
      </c>
      <c r="P109" s="13" t="s">
        <v>330</v>
      </c>
      <c r="Q109" s="13" t="s">
        <v>103</v>
      </c>
      <c r="R109" s="13" t="s">
        <v>233</v>
      </c>
      <c r="S109" s="13" t="s">
        <v>329</v>
      </c>
      <c r="T109" s="13" t="s">
        <v>70</v>
      </c>
      <c r="U109" s="13" t="s">
        <v>37</v>
      </c>
      <c r="V109" s="13">
        <v>2</v>
      </c>
    </row>
    <row r="110" spans="1:22">
      <c r="A110" s="3">
        <v>108</v>
      </c>
      <c r="B110" s="4">
        <v>190307</v>
      </c>
      <c r="C110" s="4" t="s">
        <v>331</v>
      </c>
      <c r="D110" s="5">
        <v>121.431851</v>
      </c>
      <c r="E110" s="5">
        <v>31.170285</v>
      </c>
      <c r="F110" s="6">
        <v>121.431859</v>
      </c>
      <c r="G110" s="6">
        <v>31.170042</v>
      </c>
      <c r="H110" s="7">
        <v>121.431812</v>
      </c>
      <c r="I110" s="7">
        <v>31.170613</v>
      </c>
      <c r="J110" s="14">
        <v>0.8</v>
      </c>
      <c r="K110" s="14">
        <v>1546</v>
      </c>
      <c r="L110" s="15">
        <f t="shared" si="2"/>
        <v>1</v>
      </c>
      <c r="M110" s="15">
        <f t="shared" si="3"/>
        <v>1</v>
      </c>
      <c r="N110" s="14">
        <v>30</v>
      </c>
      <c r="O110" s="14">
        <v>120</v>
      </c>
      <c r="P110" s="13" t="s">
        <v>332</v>
      </c>
      <c r="Q110" s="13" t="s">
        <v>157</v>
      </c>
      <c r="R110" s="13" t="s">
        <v>331</v>
      </c>
      <c r="S110" s="13" t="s">
        <v>333</v>
      </c>
      <c r="T110" s="13" t="s">
        <v>26</v>
      </c>
      <c r="U110" s="13" t="s">
        <v>37</v>
      </c>
      <c r="V110" s="13">
        <v>2</v>
      </c>
    </row>
    <row r="111" spans="1:22">
      <c r="A111" s="3">
        <v>109</v>
      </c>
      <c r="B111" s="4">
        <v>190307</v>
      </c>
      <c r="C111" s="4" t="s">
        <v>334</v>
      </c>
      <c r="D111" s="5">
        <v>121.412198144925</v>
      </c>
      <c r="E111" s="5">
        <v>31.2472960898647</v>
      </c>
      <c r="F111" s="6">
        <v>121.412219</v>
      </c>
      <c r="G111" s="6">
        <v>31.247256</v>
      </c>
      <c r="H111" s="7">
        <v>121.412139</v>
      </c>
      <c r="I111" s="7">
        <v>31.247403</v>
      </c>
      <c r="J111" s="14">
        <v>0.8</v>
      </c>
      <c r="K111" s="14">
        <v>1382</v>
      </c>
      <c r="L111" s="15">
        <f t="shared" si="2"/>
        <v>1</v>
      </c>
      <c r="M111" s="15">
        <f t="shared" si="3"/>
        <v>1</v>
      </c>
      <c r="N111" s="14">
        <v>30</v>
      </c>
      <c r="O111" s="14">
        <v>120</v>
      </c>
      <c r="P111" s="13" t="s">
        <v>335</v>
      </c>
      <c r="Q111" s="13" t="s">
        <v>103</v>
      </c>
      <c r="R111" s="13" t="s">
        <v>334</v>
      </c>
      <c r="S111" s="13" t="s">
        <v>336</v>
      </c>
      <c r="T111" s="13" t="s">
        <v>26</v>
      </c>
      <c r="U111" s="13" t="s">
        <v>37</v>
      </c>
      <c r="V111" s="13">
        <v>2</v>
      </c>
    </row>
    <row r="112" spans="1:22">
      <c r="A112" s="3">
        <v>110</v>
      </c>
      <c r="B112" s="4">
        <v>190307</v>
      </c>
      <c r="C112" s="4" t="s">
        <v>337</v>
      </c>
      <c r="D112" s="5">
        <v>121.413651481671</v>
      </c>
      <c r="E112" s="5">
        <v>31.2420189996471</v>
      </c>
      <c r="F112" s="6">
        <v>121.413881</v>
      </c>
      <c r="G112" s="6">
        <v>31.241842</v>
      </c>
      <c r="H112" s="7">
        <v>121.413677</v>
      </c>
      <c r="I112" s="7">
        <v>31.241989</v>
      </c>
      <c r="J112" s="14">
        <v>0.8</v>
      </c>
      <c r="K112" s="14">
        <v>1555</v>
      </c>
      <c r="L112" s="15">
        <f t="shared" si="2"/>
        <v>1</v>
      </c>
      <c r="M112" s="15">
        <f t="shared" si="3"/>
        <v>1</v>
      </c>
      <c r="N112" s="14">
        <v>30</v>
      </c>
      <c r="O112" s="14">
        <v>120</v>
      </c>
      <c r="P112" s="13" t="s">
        <v>338</v>
      </c>
      <c r="Q112" s="13" t="s">
        <v>103</v>
      </c>
      <c r="R112" s="13" t="s">
        <v>337</v>
      </c>
      <c r="S112" s="13" t="s">
        <v>316</v>
      </c>
      <c r="T112" s="13" t="s">
        <v>26</v>
      </c>
      <c r="U112" s="13" t="s">
        <v>37</v>
      </c>
      <c r="V112" s="13">
        <v>2</v>
      </c>
    </row>
    <row r="113" spans="1:22">
      <c r="A113" s="3">
        <v>111</v>
      </c>
      <c r="B113" s="4">
        <v>190307</v>
      </c>
      <c r="C113" s="4" t="s">
        <v>339</v>
      </c>
      <c r="D113" s="5">
        <v>121.399652302579</v>
      </c>
      <c r="E113" s="5">
        <v>31.2966671853957</v>
      </c>
      <c r="F113" s="6">
        <v>121.399856</v>
      </c>
      <c r="G113" s="6">
        <v>31.296681</v>
      </c>
      <c r="H113" s="7">
        <v>121.400138</v>
      </c>
      <c r="I113" s="7">
        <v>31.296687</v>
      </c>
      <c r="J113" s="14">
        <v>0.8</v>
      </c>
      <c r="K113" s="14">
        <v>515</v>
      </c>
      <c r="L113" s="15">
        <f t="shared" si="2"/>
        <v>1</v>
      </c>
      <c r="M113" s="15">
        <f t="shared" si="3"/>
        <v>1</v>
      </c>
      <c r="N113" s="14">
        <v>30</v>
      </c>
      <c r="O113" s="14">
        <v>120</v>
      </c>
      <c r="P113" s="13" t="s">
        <v>340</v>
      </c>
      <c r="Q113" s="13" t="s">
        <v>103</v>
      </c>
      <c r="R113" s="13" t="s">
        <v>279</v>
      </c>
      <c r="S113" s="13" t="s">
        <v>279</v>
      </c>
      <c r="T113" s="13" t="s">
        <v>26</v>
      </c>
      <c r="U113" s="13" t="s">
        <v>37</v>
      </c>
      <c r="V113" s="13">
        <v>2</v>
      </c>
    </row>
    <row r="114" spans="1:22">
      <c r="A114" s="3">
        <v>112</v>
      </c>
      <c r="B114" s="4">
        <v>190307</v>
      </c>
      <c r="C114" s="4" t="s">
        <v>341</v>
      </c>
      <c r="D114" s="5">
        <v>121.413450494502</v>
      </c>
      <c r="E114" s="5">
        <v>31.2465847286824</v>
      </c>
      <c r="F114" s="6">
        <v>121.413471</v>
      </c>
      <c r="G114" s="6">
        <v>31.246591</v>
      </c>
      <c r="H114" s="7">
        <v>121.413392</v>
      </c>
      <c r="I114" s="7">
        <v>31.246509</v>
      </c>
      <c r="J114" s="14">
        <v>0.8</v>
      </c>
      <c r="K114" s="14">
        <v>1446</v>
      </c>
      <c r="L114" s="15">
        <f t="shared" si="2"/>
        <v>1</v>
      </c>
      <c r="M114" s="15">
        <f t="shared" si="3"/>
        <v>1</v>
      </c>
      <c r="N114" s="14">
        <v>30</v>
      </c>
      <c r="O114" s="14">
        <v>120</v>
      </c>
      <c r="P114" s="13" t="s">
        <v>342</v>
      </c>
      <c r="Q114" s="13" t="s">
        <v>103</v>
      </c>
      <c r="R114" s="13" t="s">
        <v>343</v>
      </c>
      <c r="S114" s="13" t="s">
        <v>343</v>
      </c>
      <c r="T114" s="13" t="s">
        <v>26</v>
      </c>
      <c r="U114" s="13" t="s">
        <v>37</v>
      </c>
      <c r="V114" s="13">
        <v>2</v>
      </c>
    </row>
    <row r="115" spans="1:22">
      <c r="A115" s="3">
        <v>113</v>
      </c>
      <c r="B115" s="4">
        <v>190307</v>
      </c>
      <c r="C115" s="4" t="s">
        <v>344</v>
      </c>
      <c r="D115" s="5">
        <v>121.414181318209</v>
      </c>
      <c r="E115" s="5">
        <v>31.2458486843207</v>
      </c>
      <c r="F115" s="6">
        <v>121.414487</v>
      </c>
      <c r="G115" s="6">
        <v>31.246106</v>
      </c>
      <c r="H115" s="7">
        <v>121.41442</v>
      </c>
      <c r="I115" s="7">
        <v>31.246044</v>
      </c>
      <c r="J115" s="14">
        <v>0.8</v>
      </c>
      <c r="K115" s="14">
        <v>1478</v>
      </c>
      <c r="L115" s="15">
        <f t="shared" si="2"/>
        <v>1</v>
      </c>
      <c r="M115" s="15">
        <f t="shared" si="3"/>
        <v>1</v>
      </c>
      <c r="N115" s="14">
        <v>30</v>
      </c>
      <c r="O115" s="14">
        <v>120</v>
      </c>
      <c r="P115" s="13" t="s">
        <v>345</v>
      </c>
      <c r="Q115" s="13" t="s">
        <v>103</v>
      </c>
      <c r="R115" s="13" t="s">
        <v>346</v>
      </c>
      <c r="S115" s="13" t="s">
        <v>346</v>
      </c>
      <c r="T115" s="13" t="s">
        <v>26</v>
      </c>
      <c r="U115" s="13" t="s">
        <v>37</v>
      </c>
      <c r="V115" s="13">
        <v>2</v>
      </c>
    </row>
    <row r="116" spans="1:22">
      <c r="A116" s="3">
        <v>114</v>
      </c>
      <c r="B116" s="4">
        <v>190307</v>
      </c>
      <c r="C116" s="4" t="s">
        <v>347</v>
      </c>
      <c r="D116" s="5">
        <v>121.414723519837</v>
      </c>
      <c r="E116" s="5">
        <v>31.2439912170145</v>
      </c>
      <c r="F116" s="6">
        <v>121.415081</v>
      </c>
      <c r="G116" s="6">
        <v>31.243981</v>
      </c>
      <c r="H116" s="7">
        <v>121.414789</v>
      </c>
      <c r="I116" s="7">
        <v>31.243992</v>
      </c>
      <c r="J116" s="14">
        <v>0.8</v>
      </c>
      <c r="K116" s="14">
        <v>1568</v>
      </c>
      <c r="L116" s="15">
        <f t="shared" si="2"/>
        <v>1</v>
      </c>
      <c r="M116" s="15">
        <f t="shared" si="3"/>
        <v>1</v>
      </c>
      <c r="N116" s="14">
        <v>30</v>
      </c>
      <c r="O116" s="14">
        <v>120</v>
      </c>
      <c r="P116" s="13" t="s">
        <v>348</v>
      </c>
      <c r="Q116" s="13" t="s">
        <v>103</v>
      </c>
      <c r="R116" s="13" t="s">
        <v>328</v>
      </c>
      <c r="S116" s="13" t="s">
        <v>328</v>
      </c>
      <c r="T116" s="13" t="s">
        <v>26</v>
      </c>
      <c r="U116" s="13" t="s">
        <v>37</v>
      </c>
      <c r="V116" s="13">
        <v>2</v>
      </c>
    </row>
    <row r="117" spans="1:22">
      <c r="A117" s="3">
        <v>115</v>
      </c>
      <c r="B117" s="4">
        <v>190307</v>
      </c>
      <c r="C117" s="4" t="s">
        <v>349</v>
      </c>
      <c r="D117" s="5">
        <v>121.442956702716</v>
      </c>
      <c r="E117" s="5">
        <v>31.135351047476</v>
      </c>
      <c r="F117" s="6">
        <v>121.442896</v>
      </c>
      <c r="G117" s="6">
        <v>31.135584</v>
      </c>
      <c r="H117" s="7">
        <v>121.443038</v>
      </c>
      <c r="I117" s="7">
        <v>31.135027</v>
      </c>
      <c r="J117" s="14">
        <v>0.8</v>
      </c>
      <c r="K117" s="14">
        <v>789</v>
      </c>
      <c r="L117" s="15">
        <f t="shared" si="2"/>
        <v>1</v>
      </c>
      <c r="M117" s="15">
        <f t="shared" si="3"/>
        <v>1</v>
      </c>
      <c r="N117" s="14">
        <v>50</v>
      </c>
      <c r="O117" s="14">
        <v>120</v>
      </c>
      <c r="P117" s="13" t="s">
        <v>350</v>
      </c>
      <c r="Q117" s="13" t="s">
        <v>157</v>
      </c>
      <c r="R117" s="13" t="s">
        <v>349</v>
      </c>
      <c r="S117" s="13" t="s">
        <v>325</v>
      </c>
      <c r="T117" s="13" t="s">
        <v>26</v>
      </c>
      <c r="U117" s="13" t="s">
        <v>27</v>
      </c>
      <c r="V117" s="13">
        <v>2</v>
      </c>
    </row>
    <row r="118" spans="1:22">
      <c r="A118" s="3">
        <v>116</v>
      </c>
      <c r="B118" s="4">
        <v>190307</v>
      </c>
      <c r="C118" s="4" t="s">
        <v>351</v>
      </c>
      <c r="D118" s="5">
        <v>121.434416630497</v>
      </c>
      <c r="E118" s="5">
        <v>31.1712390360479</v>
      </c>
      <c r="F118" s="6">
        <v>121.43444</v>
      </c>
      <c r="G118" s="6">
        <v>31.170573</v>
      </c>
      <c r="H118" s="7">
        <v>121.434447</v>
      </c>
      <c r="I118" s="7">
        <v>31.170384</v>
      </c>
      <c r="J118" s="14">
        <v>0.8</v>
      </c>
      <c r="K118" s="14">
        <v>1603</v>
      </c>
      <c r="L118" s="15">
        <f t="shared" si="2"/>
        <v>1</v>
      </c>
      <c r="M118" s="15">
        <f t="shared" si="3"/>
        <v>1</v>
      </c>
      <c r="N118" s="14">
        <v>30</v>
      </c>
      <c r="O118" s="14">
        <v>120</v>
      </c>
      <c r="P118" s="13" t="s">
        <v>352</v>
      </c>
      <c r="Q118" s="13" t="s">
        <v>157</v>
      </c>
      <c r="R118" s="13" t="s">
        <v>353</v>
      </c>
      <c r="S118" s="13" t="s">
        <v>353</v>
      </c>
      <c r="T118" s="13" t="s">
        <v>26</v>
      </c>
      <c r="U118" s="13" t="s">
        <v>37</v>
      </c>
      <c r="V118" s="13">
        <v>2</v>
      </c>
    </row>
    <row r="119" spans="1:22">
      <c r="A119" s="3">
        <v>117</v>
      </c>
      <c r="B119" s="4">
        <v>190307</v>
      </c>
      <c r="C119" s="4" t="s">
        <v>354</v>
      </c>
      <c r="D119" s="5">
        <v>121.419960246833</v>
      </c>
      <c r="E119" s="5">
        <v>31.2291692680843</v>
      </c>
      <c r="F119" s="6">
        <v>121.419873</v>
      </c>
      <c r="G119" s="6">
        <v>31.229364</v>
      </c>
      <c r="H119" s="7">
        <v>121.420044</v>
      </c>
      <c r="I119" s="7">
        <v>31.229012</v>
      </c>
      <c r="J119" s="14">
        <v>0.8</v>
      </c>
      <c r="K119" s="14">
        <v>1696</v>
      </c>
      <c r="L119" s="15">
        <f t="shared" si="2"/>
        <v>1</v>
      </c>
      <c r="M119" s="15">
        <f t="shared" si="3"/>
        <v>1</v>
      </c>
      <c r="N119" s="14">
        <v>30</v>
      </c>
      <c r="O119" s="14">
        <v>120</v>
      </c>
      <c r="P119" s="13" t="s">
        <v>355</v>
      </c>
      <c r="Q119" s="13" t="s">
        <v>24</v>
      </c>
      <c r="R119" s="13" t="s">
        <v>354</v>
      </c>
      <c r="S119" s="13" t="s">
        <v>356</v>
      </c>
      <c r="T119" s="13" t="s">
        <v>26</v>
      </c>
      <c r="U119" s="13" t="s">
        <v>37</v>
      </c>
      <c r="V119" s="13">
        <v>2</v>
      </c>
    </row>
    <row r="120" spans="1:22">
      <c r="A120" s="3">
        <v>118</v>
      </c>
      <c r="B120" s="4">
        <v>190307</v>
      </c>
      <c r="C120" s="4" t="s">
        <v>357</v>
      </c>
      <c r="D120" s="5">
        <v>121.431957691478</v>
      </c>
      <c r="E120" s="5">
        <v>31.1871385984973</v>
      </c>
      <c r="F120" s="6">
        <v>121.431595</v>
      </c>
      <c r="G120" s="6">
        <v>31.18638</v>
      </c>
      <c r="H120" s="7">
        <v>121.432193</v>
      </c>
      <c r="I120" s="7">
        <v>31.187367</v>
      </c>
      <c r="J120" s="14">
        <v>0.8</v>
      </c>
      <c r="K120" s="14">
        <v>1609</v>
      </c>
      <c r="L120" s="15">
        <f t="shared" si="2"/>
        <v>1</v>
      </c>
      <c r="M120" s="15">
        <f t="shared" si="3"/>
        <v>1</v>
      </c>
      <c r="N120" s="14">
        <v>50</v>
      </c>
      <c r="O120" s="14">
        <v>120</v>
      </c>
      <c r="P120" s="13" t="s">
        <v>358</v>
      </c>
      <c r="Q120" s="13" t="s">
        <v>157</v>
      </c>
      <c r="R120" s="13" t="s">
        <v>202</v>
      </c>
      <c r="S120" s="13" t="s">
        <v>202</v>
      </c>
      <c r="T120" s="13" t="s">
        <v>26</v>
      </c>
      <c r="U120" s="13" t="s">
        <v>27</v>
      </c>
      <c r="V120" s="13">
        <v>2</v>
      </c>
    </row>
    <row r="121" spans="1:22">
      <c r="A121" s="3">
        <v>119</v>
      </c>
      <c r="B121" s="4">
        <v>190307</v>
      </c>
      <c r="C121" s="4" t="s">
        <v>359</v>
      </c>
      <c r="D121" s="5">
        <v>121.437738708416</v>
      </c>
      <c r="E121" s="5">
        <v>31.1697788066337</v>
      </c>
      <c r="F121" s="6">
        <v>121.437544</v>
      </c>
      <c r="G121" s="6">
        <v>31.1701</v>
      </c>
      <c r="H121" s="7">
        <v>121.437534</v>
      </c>
      <c r="I121" s="7">
        <v>31.169931</v>
      </c>
      <c r="J121" s="14">
        <v>0.8</v>
      </c>
      <c r="K121" s="14">
        <v>1524</v>
      </c>
      <c r="L121" s="15">
        <f t="shared" si="2"/>
        <v>1</v>
      </c>
      <c r="M121" s="15">
        <f t="shared" si="3"/>
        <v>1</v>
      </c>
      <c r="N121" s="14">
        <v>30</v>
      </c>
      <c r="O121" s="14">
        <v>120</v>
      </c>
      <c r="P121" s="13" t="s">
        <v>360</v>
      </c>
      <c r="Q121" s="13" t="s">
        <v>157</v>
      </c>
      <c r="R121" s="13" t="s">
        <v>273</v>
      </c>
      <c r="S121" s="13" t="s">
        <v>273</v>
      </c>
      <c r="T121" s="13" t="s">
        <v>26</v>
      </c>
      <c r="U121" s="13" t="s">
        <v>37</v>
      </c>
      <c r="V121" s="13">
        <v>2</v>
      </c>
    </row>
    <row r="122" spans="1:22">
      <c r="A122" s="3">
        <v>120</v>
      </c>
      <c r="B122" s="4">
        <v>190307</v>
      </c>
      <c r="C122" s="4" t="s">
        <v>361</v>
      </c>
      <c r="D122" s="5">
        <v>121.437821917129</v>
      </c>
      <c r="E122" s="5">
        <v>31.171889349571</v>
      </c>
      <c r="F122" s="6">
        <v>121.43785</v>
      </c>
      <c r="G122" s="6">
        <v>31.171888</v>
      </c>
      <c r="H122" s="7">
        <v>121.437988</v>
      </c>
      <c r="I122" s="7">
        <v>31.171886</v>
      </c>
      <c r="J122" s="14">
        <v>0.8</v>
      </c>
      <c r="K122" s="14">
        <v>1577</v>
      </c>
      <c r="L122" s="15">
        <f t="shared" si="2"/>
        <v>1</v>
      </c>
      <c r="M122" s="15">
        <f t="shared" si="3"/>
        <v>1</v>
      </c>
      <c r="N122" s="14">
        <v>30</v>
      </c>
      <c r="O122" s="14">
        <v>120</v>
      </c>
      <c r="P122" s="13" t="s">
        <v>362</v>
      </c>
      <c r="Q122" s="13" t="s">
        <v>157</v>
      </c>
      <c r="R122" s="13" t="s">
        <v>363</v>
      </c>
      <c r="S122" s="13" t="s">
        <v>363</v>
      </c>
      <c r="T122" s="13" t="s">
        <v>26</v>
      </c>
      <c r="U122" s="13" t="s">
        <v>37</v>
      </c>
      <c r="V122" s="13">
        <v>2</v>
      </c>
    </row>
    <row r="123" spans="1:22">
      <c r="A123" s="3">
        <v>121</v>
      </c>
      <c r="B123" s="4">
        <v>190307</v>
      </c>
      <c r="C123" s="4" t="s">
        <v>364</v>
      </c>
      <c r="D123" s="5">
        <v>121.43742633024</v>
      </c>
      <c r="E123" s="5">
        <v>31.1745788864411</v>
      </c>
      <c r="F123" s="6">
        <v>121.437321</v>
      </c>
      <c r="G123" s="6">
        <v>31.174553</v>
      </c>
      <c r="H123" s="7">
        <v>121.438274</v>
      </c>
      <c r="I123" s="7">
        <v>31.174591</v>
      </c>
      <c r="J123" s="14">
        <v>0.8</v>
      </c>
      <c r="K123" s="14">
        <v>1582</v>
      </c>
      <c r="L123" s="15">
        <f t="shared" si="2"/>
        <v>1</v>
      </c>
      <c r="M123" s="15">
        <f t="shared" si="3"/>
        <v>1</v>
      </c>
      <c r="N123" s="14">
        <v>60</v>
      </c>
      <c r="O123" s="14">
        <v>140</v>
      </c>
      <c r="P123" s="13" t="s">
        <v>365</v>
      </c>
      <c r="Q123" s="13" t="s">
        <v>157</v>
      </c>
      <c r="R123" s="13" t="s">
        <v>364</v>
      </c>
      <c r="S123" s="13" t="s">
        <v>199</v>
      </c>
      <c r="T123" s="13" t="s">
        <v>26</v>
      </c>
      <c r="U123" s="13" t="s">
        <v>64</v>
      </c>
      <c r="V123" s="13">
        <v>4</v>
      </c>
    </row>
    <row r="124" spans="1:22">
      <c r="A124" s="3">
        <v>122</v>
      </c>
      <c r="B124" s="4">
        <v>190307</v>
      </c>
      <c r="C124" s="4" t="s">
        <v>366</v>
      </c>
      <c r="D124" s="5">
        <v>121.43722618396</v>
      </c>
      <c r="E124" s="5">
        <v>31.1806672393852</v>
      </c>
      <c r="F124" s="6">
        <v>121.437441</v>
      </c>
      <c r="G124" s="6">
        <v>31.18074</v>
      </c>
      <c r="H124" s="7">
        <v>121.436995</v>
      </c>
      <c r="I124" s="7">
        <v>31.180566</v>
      </c>
      <c r="J124" s="14">
        <v>0.8</v>
      </c>
      <c r="K124" s="14">
        <v>1685</v>
      </c>
      <c r="L124" s="15">
        <f t="shared" si="2"/>
        <v>1</v>
      </c>
      <c r="M124" s="15">
        <f t="shared" si="3"/>
        <v>1</v>
      </c>
      <c r="N124" s="14">
        <v>30</v>
      </c>
      <c r="O124" s="14">
        <v>120</v>
      </c>
      <c r="P124" s="13" t="s">
        <v>367</v>
      </c>
      <c r="Q124" s="13" t="s">
        <v>157</v>
      </c>
      <c r="R124" s="13" t="s">
        <v>368</v>
      </c>
      <c r="S124" s="13" t="s">
        <v>368</v>
      </c>
      <c r="T124" s="13" t="s">
        <v>26</v>
      </c>
      <c r="U124" s="13" t="s">
        <v>37</v>
      </c>
      <c r="V124" s="13">
        <v>2</v>
      </c>
    </row>
    <row r="125" spans="1:22">
      <c r="A125" s="3">
        <v>123</v>
      </c>
      <c r="B125" s="4">
        <v>190307</v>
      </c>
      <c r="C125" s="4" t="s">
        <v>369</v>
      </c>
      <c r="D125" s="5">
        <v>121.417560058775</v>
      </c>
      <c r="E125" s="5">
        <v>31.2576242702468</v>
      </c>
      <c r="F125" s="6">
        <v>121.417673</v>
      </c>
      <c r="G125" s="6">
        <v>31.257219</v>
      </c>
      <c r="H125" s="7">
        <v>121.41767</v>
      </c>
      <c r="I125" s="7">
        <v>31.257721</v>
      </c>
      <c r="J125" s="14">
        <v>0.8</v>
      </c>
      <c r="K125" s="14">
        <v>1264</v>
      </c>
      <c r="L125" s="15">
        <f t="shared" si="2"/>
        <v>1</v>
      </c>
      <c r="M125" s="15">
        <f t="shared" si="3"/>
        <v>1</v>
      </c>
      <c r="N125" s="14">
        <v>50</v>
      </c>
      <c r="O125" s="14">
        <v>120</v>
      </c>
      <c r="P125" s="13" t="s">
        <v>370</v>
      </c>
      <c r="Q125" s="13" t="s">
        <v>103</v>
      </c>
      <c r="R125" s="13" t="s">
        <v>371</v>
      </c>
      <c r="S125" s="13" t="s">
        <v>371</v>
      </c>
      <c r="T125" s="13" t="s">
        <v>26</v>
      </c>
      <c r="U125" s="13" t="s">
        <v>27</v>
      </c>
      <c r="V125" s="13">
        <v>2</v>
      </c>
    </row>
    <row r="126" spans="1:22">
      <c r="A126" s="3">
        <v>124</v>
      </c>
      <c r="B126" s="4">
        <v>190307</v>
      </c>
      <c r="C126" s="4" t="s">
        <v>372</v>
      </c>
      <c r="D126" s="5">
        <v>121.412054164132</v>
      </c>
      <c r="E126" s="5">
        <v>31.2793405842151</v>
      </c>
      <c r="F126" s="6">
        <v>121.412094</v>
      </c>
      <c r="G126" s="6">
        <v>31.279401</v>
      </c>
      <c r="H126" s="7">
        <v>121.411959</v>
      </c>
      <c r="I126" s="7">
        <v>31.278978</v>
      </c>
      <c r="J126" s="14">
        <v>0.8</v>
      </c>
      <c r="K126" s="14">
        <v>1156</v>
      </c>
      <c r="L126" s="15">
        <f t="shared" si="2"/>
        <v>1</v>
      </c>
      <c r="M126" s="15">
        <f t="shared" si="3"/>
        <v>1</v>
      </c>
      <c r="N126" s="14">
        <v>30</v>
      </c>
      <c r="O126" s="14">
        <v>120</v>
      </c>
      <c r="P126" s="13" t="s">
        <v>373</v>
      </c>
      <c r="Q126" s="13" t="s">
        <v>103</v>
      </c>
      <c r="R126" s="13" t="s">
        <v>374</v>
      </c>
      <c r="S126" s="13" t="s">
        <v>374</v>
      </c>
      <c r="T126" s="13" t="s">
        <v>26</v>
      </c>
      <c r="U126" s="13" t="s">
        <v>37</v>
      </c>
      <c r="V126" s="13">
        <v>2</v>
      </c>
    </row>
    <row r="127" spans="1:22">
      <c r="A127" s="3">
        <v>125</v>
      </c>
      <c r="B127" s="4">
        <v>190306</v>
      </c>
      <c r="C127" s="4" t="s">
        <v>375</v>
      </c>
      <c r="D127" s="5">
        <v>121.416049921133</v>
      </c>
      <c r="E127" s="5">
        <v>31.266285303963</v>
      </c>
      <c r="F127" s="6">
        <v>121.416067</v>
      </c>
      <c r="G127" s="6">
        <v>31.265786</v>
      </c>
      <c r="H127" s="7">
        <v>121.416036</v>
      </c>
      <c r="I127" s="7">
        <v>31.266858</v>
      </c>
      <c r="J127" s="14">
        <v>0.8</v>
      </c>
      <c r="K127" s="14">
        <v>1205</v>
      </c>
      <c r="L127" s="15">
        <f t="shared" si="2"/>
        <v>1</v>
      </c>
      <c r="M127" s="15">
        <f t="shared" si="3"/>
        <v>1</v>
      </c>
      <c r="N127" s="14">
        <v>80</v>
      </c>
      <c r="O127" s="14">
        <v>160</v>
      </c>
      <c r="P127" s="13" t="s">
        <v>376</v>
      </c>
      <c r="Q127" s="13" t="s">
        <v>103</v>
      </c>
      <c r="R127" s="13" t="s">
        <v>377</v>
      </c>
      <c r="S127" s="13" t="s">
        <v>371</v>
      </c>
      <c r="T127" s="13" t="s">
        <v>95</v>
      </c>
      <c r="U127" s="13" t="s">
        <v>31</v>
      </c>
      <c r="V127" s="13">
        <v>4</v>
      </c>
    </row>
    <row r="128" spans="1:22">
      <c r="A128" s="3">
        <v>126</v>
      </c>
      <c r="B128" s="4">
        <v>190310</v>
      </c>
      <c r="C128" s="4" t="s">
        <v>378</v>
      </c>
      <c r="D128" s="5">
        <v>121.416101383955</v>
      </c>
      <c r="E128" s="5">
        <v>31.2675469856353</v>
      </c>
      <c r="F128" s="6">
        <v>121.416145</v>
      </c>
      <c r="G128" s="6">
        <v>31.267891</v>
      </c>
      <c r="H128" s="7">
        <v>121.416061</v>
      </c>
      <c r="I128" s="7">
        <v>31.267181</v>
      </c>
      <c r="J128" s="14">
        <v>0.8</v>
      </c>
      <c r="K128" s="14">
        <v>1202</v>
      </c>
      <c r="L128" s="15">
        <f t="shared" ref="L128:L157" si="4">IF(AND(J128&lt;=0.2),4,IF(AND(J128&gt;0.2,J128&lt;=0.4),3,IF(AND(J128&gt;0.4,J128&lt;=0.7),2,IF(AND(J128&gt;0.7,J128&lt;=1),1,"其他"))))</f>
        <v>1</v>
      </c>
      <c r="M128" s="15">
        <f t="shared" ref="M128:M157" si="5">IF(AND(L128&lt;=1),1,IF(AND(L128&gt;1),2,"其他"))</f>
        <v>1</v>
      </c>
      <c r="N128" s="14">
        <v>50</v>
      </c>
      <c r="O128" s="14">
        <v>120</v>
      </c>
      <c r="P128" s="13" t="s">
        <v>379</v>
      </c>
      <c r="Q128" s="13" t="s">
        <v>103</v>
      </c>
      <c r="R128" s="13" t="s">
        <v>378</v>
      </c>
      <c r="S128" s="13" t="s">
        <v>371</v>
      </c>
      <c r="T128" s="13" t="s">
        <v>70</v>
      </c>
      <c r="U128" s="13" t="s">
        <v>27</v>
      </c>
      <c r="V128" s="13">
        <v>2</v>
      </c>
    </row>
    <row r="129" spans="1:22">
      <c r="A129" s="3">
        <v>127</v>
      </c>
      <c r="B129" s="4">
        <v>190307</v>
      </c>
      <c r="C129" s="4" t="s">
        <v>380</v>
      </c>
      <c r="D129" s="5">
        <v>121.450402562238</v>
      </c>
      <c r="E129" s="5">
        <v>31.1360839783435</v>
      </c>
      <c r="F129" s="6">
        <v>121.450378</v>
      </c>
      <c r="G129" s="6">
        <v>31.13638</v>
      </c>
      <c r="H129" s="7">
        <v>121.450574</v>
      </c>
      <c r="I129" s="7">
        <v>31.135831</v>
      </c>
      <c r="J129" s="14">
        <v>0.8</v>
      </c>
      <c r="K129" s="14">
        <v>783</v>
      </c>
      <c r="L129" s="15">
        <f t="shared" si="4"/>
        <v>1</v>
      </c>
      <c r="M129" s="15">
        <f t="shared" si="5"/>
        <v>1</v>
      </c>
      <c r="N129" s="14">
        <v>30</v>
      </c>
      <c r="O129" s="14">
        <v>120</v>
      </c>
      <c r="P129" s="13" t="s">
        <v>381</v>
      </c>
      <c r="Q129" s="13" t="s">
        <v>157</v>
      </c>
      <c r="R129" s="13" t="s">
        <v>382</v>
      </c>
      <c r="S129" s="13" t="s">
        <v>382</v>
      </c>
      <c r="T129" s="13" t="s">
        <v>26</v>
      </c>
      <c r="U129" s="13" t="s">
        <v>37</v>
      </c>
      <c r="V129" s="13">
        <v>2</v>
      </c>
    </row>
    <row r="130" spans="1:22">
      <c r="A130" s="3">
        <v>128</v>
      </c>
      <c r="B130" s="4">
        <v>190309</v>
      </c>
      <c r="C130" s="4" t="s">
        <v>383</v>
      </c>
      <c r="D130" s="5">
        <v>121.427259079237</v>
      </c>
      <c r="E130" s="5">
        <v>31.2271444838905</v>
      </c>
      <c r="F130" s="6">
        <v>121.427234</v>
      </c>
      <c r="G130" s="6">
        <v>31.227161</v>
      </c>
      <c r="H130" s="7">
        <v>121.427549</v>
      </c>
      <c r="I130" s="7">
        <v>31.226987</v>
      </c>
      <c r="J130" s="14">
        <v>0.8</v>
      </c>
      <c r="K130" s="14">
        <v>1782</v>
      </c>
      <c r="L130" s="15">
        <f t="shared" si="4"/>
        <v>1</v>
      </c>
      <c r="M130" s="15">
        <f t="shared" si="5"/>
        <v>1</v>
      </c>
      <c r="N130" s="14">
        <v>80</v>
      </c>
      <c r="O130" s="14">
        <v>160</v>
      </c>
      <c r="P130" s="13" t="s">
        <v>384</v>
      </c>
      <c r="Q130" s="13" t="s">
        <v>24</v>
      </c>
      <c r="R130" s="13" t="s">
        <v>180</v>
      </c>
      <c r="S130" s="13" t="s">
        <v>181</v>
      </c>
      <c r="T130" s="13" t="s">
        <v>70</v>
      </c>
      <c r="U130" s="13" t="s">
        <v>31</v>
      </c>
      <c r="V130" s="13">
        <v>4</v>
      </c>
    </row>
    <row r="131" spans="1:22">
      <c r="A131" s="3">
        <v>129</v>
      </c>
      <c r="B131" s="4">
        <v>190307</v>
      </c>
      <c r="C131" s="4" t="s">
        <v>385</v>
      </c>
      <c r="D131" s="5">
        <v>121.404623274668</v>
      </c>
      <c r="E131" s="5">
        <v>31.315850654643</v>
      </c>
      <c r="F131" s="6">
        <v>121.404648</v>
      </c>
      <c r="G131" s="6">
        <v>31.315772</v>
      </c>
      <c r="H131" s="7">
        <v>121.404655</v>
      </c>
      <c r="I131" s="7">
        <v>31.315694</v>
      </c>
      <c r="J131" s="14">
        <v>0.8</v>
      </c>
      <c r="K131" s="14">
        <v>529</v>
      </c>
      <c r="L131" s="15">
        <f t="shared" si="4"/>
        <v>1</v>
      </c>
      <c r="M131" s="15">
        <f t="shared" si="5"/>
        <v>1</v>
      </c>
      <c r="N131" s="14">
        <v>30</v>
      </c>
      <c r="O131" s="14">
        <v>120</v>
      </c>
      <c r="P131" s="13" t="s">
        <v>386</v>
      </c>
      <c r="Q131" s="13" t="s">
        <v>165</v>
      </c>
      <c r="R131" s="13" t="s">
        <v>387</v>
      </c>
      <c r="S131" s="13" t="s">
        <v>387</v>
      </c>
      <c r="T131" s="13" t="s">
        <v>26</v>
      </c>
      <c r="U131" s="13" t="s">
        <v>37</v>
      </c>
      <c r="V131" s="13">
        <v>2</v>
      </c>
    </row>
    <row r="132" spans="1:22">
      <c r="A132" s="3">
        <v>130</v>
      </c>
      <c r="B132" s="4">
        <v>190307</v>
      </c>
      <c r="C132" s="4" t="s">
        <v>388</v>
      </c>
      <c r="D132" s="5">
        <v>121.406057301122</v>
      </c>
      <c r="E132" s="5">
        <v>31.3108305377441</v>
      </c>
      <c r="F132" s="6">
        <v>121.406001</v>
      </c>
      <c r="G132" s="6">
        <v>31.310901</v>
      </c>
      <c r="H132" s="7">
        <v>121.4062</v>
      </c>
      <c r="I132" s="7">
        <v>31.310806</v>
      </c>
      <c r="J132" s="14">
        <v>0.8</v>
      </c>
      <c r="K132" s="14">
        <v>706</v>
      </c>
      <c r="L132" s="15">
        <f t="shared" si="4"/>
        <v>1</v>
      </c>
      <c r="M132" s="15">
        <f t="shared" si="5"/>
        <v>1</v>
      </c>
      <c r="N132" s="14">
        <v>30</v>
      </c>
      <c r="O132" s="14">
        <v>120</v>
      </c>
      <c r="P132" s="13" t="s">
        <v>389</v>
      </c>
      <c r="Q132" s="13" t="s">
        <v>165</v>
      </c>
      <c r="R132" s="13" t="s">
        <v>390</v>
      </c>
      <c r="S132" s="13" t="s">
        <v>390</v>
      </c>
      <c r="T132" s="13" t="s">
        <v>26</v>
      </c>
      <c r="U132" s="13" t="s">
        <v>37</v>
      </c>
      <c r="V132" s="13">
        <v>2</v>
      </c>
    </row>
    <row r="133" spans="1:22">
      <c r="A133" s="3">
        <v>131</v>
      </c>
      <c r="B133" s="4">
        <v>190307</v>
      </c>
      <c r="C133" s="4" t="s">
        <v>391</v>
      </c>
      <c r="D133" s="5">
        <v>121.421876408715</v>
      </c>
      <c r="E133" s="5">
        <v>31.25268865884</v>
      </c>
      <c r="F133" s="6">
        <v>121.42231</v>
      </c>
      <c r="G133" s="6">
        <v>31.252782</v>
      </c>
      <c r="H133" s="7">
        <v>121.422454</v>
      </c>
      <c r="I133" s="7">
        <v>31.252838</v>
      </c>
      <c r="J133" s="14">
        <v>0.8</v>
      </c>
      <c r="K133" s="14">
        <v>1297</v>
      </c>
      <c r="L133" s="15">
        <f t="shared" si="4"/>
        <v>1</v>
      </c>
      <c r="M133" s="15">
        <f t="shared" si="5"/>
        <v>1</v>
      </c>
      <c r="N133" s="14">
        <v>30</v>
      </c>
      <c r="O133" s="14">
        <v>120</v>
      </c>
      <c r="P133" s="13" t="s">
        <v>392</v>
      </c>
      <c r="Q133" s="13" t="s">
        <v>103</v>
      </c>
      <c r="R133" s="13" t="s">
        <v>393</v>
      </c>
      <c r="S133" s="13" t="s">
        <v>393</v>
      </c>
      <c r="T133" s="13" t="s">
        <v>26</v>
      </c>
      <c r="U133" s="13" t="s">
        <v>37</v>
      </c>
      <c r="V133" s="13">
        <v>2</v>
      </c>
    </row>
    <row r="134" spans="1:22">
      <c r="A134" s="3">
        <v>132</v>
      </c>
      <c r="B134" s="4">
        <v>190307</v>
      </c>
      <c r="C134" s="4" t="s">
        <v>394</v>
      </c>
      <c r="D134" s="5">
        <v>121.421694323667</v>
      </c>
      <c r="E134" s="5">
        <v>31.2538730777496</v>
      </c>
      <c r="F134" s="6">
        <v>121.421527</v>
      </c>
      <c r="G134" s="6">
        <v>31.253751</v>
      </c>
      <c r="H134" s="7">
        <v>121.421626</v>
      </c>
      <c r="I134" s="7">
        <v>31.253818</v>
      </c>
      <c r="J134" s="14">
        <v>0.8</v>
      </c>
      <c r="K134" s="14">
        <v>1269</v>
      </c>
      <c r="L134" s="15">
        <f t="shared" si="4"/>
        <v>1</v>
      </c>
      <c r="M134" s="15">
        <f t="shared" si="5"/>
        <v>1</v>
      </c>
      <c r="N134" s="14">
        <v>30</v>
      </c>
      <c r="O134" s="14">
        <v>120</v>
      </c>
      <c r="P134" s="13" t="s">
        <v>395</v>
      </c>
      <c r="Q134" s="13" t="s">
        <v>103</v>
      </c>
      <c r="R134" s="13" t="s">
        <v>394</v>
      </c>
      <c r="S134" s="13" t="s">
        <v>396</v>
      </c>
      <c r="T134" s="13" t="s">
        <v>26</v>
      </c>
      <c r="U134" s="13" t="s">
        <v>37</v>
      </c>
      <c r="V134" s="13">
        <v>2</v>
      </c>
    </row>
    <row r="135" spans="1:22">
      <c r="A135" s="3">
        <v>133</v>
      </c>
      <c r="B135" s="4">
        <v>190307</v>
      </c>
      <c r="C135" s="4" t="s">
        <v>397</v>
      </c>
      <c r="D135" s="5">
        <v>121.417094190105</v>
      </c>
      <c r="E135" s="5">
        <v>31.2718689917596</v>
      </c>
      <c r="F135" s="6">
        <v>121.41711</v>
      </c>
      <c r="G135" s="6">
        <v>31.271957</v>
      </c>
      <c r="H135" s="7">
        <v>121.417063</v>
      </c>
      <c r="I135" s="7">
        <v>31.271781</v>
      </c>
      <c r="J135" s="14">
        <v>0.8</v>
      </c>
      <c r="K135" s="14">
        <v>1228</v>
      </c>
      <c r="L135" s="15">
        <f t="shared" si="4"/>
        <v>1</v>
      </c>
      <c r="M135" s="15">
        <f t="shared" si="5"/>
        <v>1</v>
      </c>
      <c r="N135" s="14">
        <v>30</v>
      </c>
      <c r="O135" s="14">
        <v>120</v>
      </c>
      <c r="P135" s="13" t="s">
        <v>398</v>
      </c>
      <c r="Q135" s="13" t="s">
        <v>103</v>
      </c>
      <c r="R135" s="13" t="s">
        <v>397</v>
      </c>
      <c r="S135" s="13" t="s">
        <v>399</v>
      </c>
      <c r="T135" s="13" t="s">
        <v>26</v>
      </c>
      <c r="U135" s="13" t="s">
        <v>37</v>
      </c>
      <c r="V135" s="13">
        <v>2</v>
      </c>
    </row>
    <row r="136" spans="1:22">
      <c r="A136" s="3">
        <v>134</v>
      </c>
      <c r="B136" s="4">
        <v>190306</v>
      </c>
      <c r="C136" s="4" t="s">
        <v>400</v>
      </c>
      <c r="D136" s="5">
        <v>121.412190878517</v>
      </c>
      <c r="E136" s="5">
        <v>31.2929125544725</v>
      </c>
      <c r="F136" s="6">
        <v>121.411473</v>
      </c>
      <c r="G136" s="6">
        <v>31.292149</v>
      </c>
      <c r="H136" s="7">
        <v>121.412639</v>
      </c>
      <c r="I136" s="7">
        <v>31.293634</v>
      </c>
      <c r="J136" s="14">
        <v>0.8</v>
      </c>
      <c r="K136" s="14">
        <v>1053</v>
      </c>
      <c r="L136" s="15">
        <f t="shared" si="4"/>
        <v>1</v>
      </c>
      <c r="M136" s="15">
        <f t="shared" si="5"/>
        <v>1</v>
      </c>
      <c r="N136" s="14">
        <v>80</v>
      </c>
      <c r="O136" s="14">
        <v>160</v>
      </c>
      <c r="P136" s="13" t="s">
        <v>401</v>
      </c>
      <c r="Q136" s="13" t="s">
        <v>165</v>
      </c>
      <c r="R136" s="13" t="s">
        <v>400</v>
      </c>
      <c r="S136" s="13" t="s">
        <v>127</v>
      </c>
      <c r="T136" s="13" t="s">
        <v>95</v>
      </c>
      <c r="U136" s="13" t="s">
        <v>31</v>
      </c>
      <c r="V136" s="13">
        <v>4</v>
      </c>
    </row>
    <row r="137" spans="1:22">
      <c r="A137" s="3">
        <v>135</v>
      </c>
      <c r="B137" s="4">
        <v>190307</v>
      </c>
      <c r="C137" s="4" t="s">
        <v>402</v>
      </c>
      <c r="D137" s="5">
        <v>121.417129077255</v>
      </c>
      <c r="E137" s="5">
        <v>31.2761077250628</v>
      </c>
      <c r="F137" s="6">
        <v>121.417088</v>
      </c>
      <c r="G137" s="6">
        <v>31.276214</v>
      </c>
      <c r="H137" s="7">
        <v>121.417076</v>
      </c>
      <c r="I137" s="7">
        <v>31.276044</v>
      </c>
      <c r="J137" s="14">
        <v>0.8</v>
      </c>
      <c r="K137" s="14">
        <v>1195</v>
      </c>
      <c r="L137" s="15">
        <f t="shared" si="4"/>
        <v>1</v>
      </c>
      <c r="M137" s="15">
        <f t="shared" si="5"/>
        <v>1</v>
      </c>
      <c r="N137" s="14">
        <v>30</v>
      </c>
      <c r="O137" s="14">
        <v>120</v>
      </c>
      <c r="P137" s="13" t="s">
        <v>403</v>
      </c>
      <c r="Q137" s="13" t="s">
        <v>103</v>
      </c>
      <c r="R137" s="13" t="s">
        <v>404</v>
      </c>
      <c r="S137" s="13" t="s">
        <v>404</v>
      </c>
      <c r="T137" s="13" t="s">
        <v>26</v>
      </c>
      <c r="U137" s="13" t="s">
        <v>37</v>
      </c>
      <c r="V137" s="13">
        <v>2</v>
      </c>
    </row>
    <row r="138" spans="1:22">
      <c r="A138" s="3">
        <v>136</v>
      </c>
      <c r="B138" s="4">
        <v>190307</v>
      </c>
      <c r="C138" s="4" t="s">
        <v>405</v>
      </c>
      <c r="D138" s="5">
        <v>121.418726546031</v>
      </c>
      <c r="E138" s="5">
        <v>31.2735847973412</v>
      </c>
      <c r="F138" s="6">
        <v>121.418634</v>
      </c>
      <c r="G138" s="6">
        <v>31.273668</v>
      </c>
      <c r="H138" s="7">
        <v>121.418868</v>
      </c>
      <c r="I138" s="7">
        <v>31.273682</v>
      </c>
      <c r="J138" s="14">
        <v>0.8</v>
      </c>
      <c r="K138" s="14">
        <v>1250</v>
      </c>
      <c r="L138" s="15">
        <f t="shared" si="4"/>
        <v>1</v>
      </c>
      <c r="M138" s="15">
        <f t="shared" si="5"/>
        <v>1</v>
      </c>
      <c r="N138" s="14">
        <v>50</v>
      </c>
      <c r="O138" s="14">
        <v>120</v>
      </c>
      <c r="P138" s="13" t="s">
        <v>406</v>
      </c>
      <c r="Q138" s="13" t="s">
        <v>103</v>
      </c>
      <c r="R138" s="13" t="s">
        <v>405</v>
      </c>
      <c r="S138" s="13" t="s">
        <v>407</v>
      </c>
      <c r="T138" s="13" t="s">
        <v>26</v>
      </c>
      <c r="U138" s="13" t="s">
        <v>27</v>
      </c>
      <c r="V138" s="13">
        <v>2</v>
      </c>
    </row>
    <row r="139" spans="1:22">
      <c r="A139" s="3">
        <v>137</v>
      </c>
      <c r="B139" s="4">
        <v>190307</v>
      </c>
      <c r="C139" s="4" t="s">
        <v>408</v>
      </c>
      <c r="D139" s="5">
        <v>121.445034828683</v>
      </c>
      <c r="E139" s="5">
        <v>31.1721685494415</v>
      </c>
      <c r="F139" s="6">
        <v>121.445058</v>
      </c>
      <c r="G139" s="6">
        <v>31.171806</v>
      </c>
      <c r="H139" s="7">
        <v>121.445094</v>
      </c>
      <c r="I139" s="7">
        <v>31.17156</v>
      </c>
      <c r="J139" s="14">
        <v>0.8</v>
      </c>
      <c r="K139" s="14">
        <v>1377</v>
      </c>
      <c r="L139" s="15">
        <f t="shared" si="4"/>
        <v>1</v>
      </c>
      <c r="M139" s="15">
        <f t="shared" si="5"/>
        <v>1</v>
      </c>
      <c r="N139" s="14">
        <v>30</v>
      </c>
      <c r="O139" s="14">
        <v>120</v>
      </c>
      <c r="P139" s="13" t="s">
        <v>409</v>
      </c>
      <c r="Q139" s="13" t="s">
        <v>157</v>
      </c>
      <c r="R139" s="13" t="s">
        <v>408</v>
      </c>
      <c r="S139" s="13" t="s">
        <v>410</v>
      </c>
      <c r="T139" s="13" t="s">
        <v>26</v>
      </c>
      <c r="U139" s="13" t="s">
        <v>37</v>
      </c>
      <c r="V139" s="13">
        <v>2</v>
      </c>
    </row>
    <row r="140" spans="1:22">
      <c r="A140" s="3">
        <v>138</v>
      </c>
      <c r="B140" s="4">
        <v>190306</v>
      </c>
      <c r="C140" s="4" t="s">
        <v>411</v>
      </c>
      <c r="D140" s="5">
        <v>121.442210816711</v>
      </c>
      <c r="E140" s="5">
        <v>31.1861532794202</v>
      </c>
      <c r="F140" s="6">
        <v>121.442208</v>
      </c>
      <c r="G140" s="6">
        <v>31.185147</v>
      </c>
      <c r="H140" s="7">
        <v>121.442445</v>
      </c>
      <c r="I140" s="7">
        <v>31.186498</v>
      </c>
      <c r="J140" s="14">
        <v>0.8</v>
      </c>
      <c r="K140" s="14">
        <v>1662</v>
      </c>
      <c r="L140" s="15">
        <f t="shared" si="4"/>
        <v>1</v>
      </c>
      <c r="M140" s="15">
        <f t="shared" si="5"/>
        <v>1</v>
      </c>
      <c r="N140" s="14">
        <v>80</v>
      </c>
      <c r="O140" s="14">
        <v>160</v>
      </c>
      <c r="P140" s="13" t="s">
        <v>412</v>
      </c>
      <c r="Q140" s="13" t="s">
        <v>157</v>
      </c>
      <c r="R140" s="13" t="s">
        <v>411</v>
      </c>
      <c r="S140" s="13" t="s">
        <v>413</v>
      </c>
      <c r="T140" s="13" t="s">
        <v>95</v>
      </c>
      <c r="U140" s="13" t="s">
        <v>31</v>
      </c>
      <c r="V140" s="13">
        <v>4</v>
      </c>
    </row>
    <row r="141" spans="1:22">
      <c r="A141" s="3">
        <v>139</v>
      </c>
      <c r="B141" s="4">
        <v>190307</v>
      </c>
      <c r="C141" s="4" t="s">
        <v>414</v>
      </c>
      <c r="D141" s="5">
        <v>121.430455641476</v>
      </c>
      <c r="E141" s="5">
        <v>31.2349717018421</v>
      </c>
      <c r="F141" s="6">
        <v>121.430397</v>
      </c>
      <c r="G141" s="6">
        <v>31.235181</v>
      </c>
      <c r="H141" s="7">
        <v>121.430598</v>
      </c>
      <c r="I141" s="7">
        <v>31.23479</v>
      </c>
      <c r="J141" s="14">
        <v>0.8</v>
      </c>
      <c r="K141" s="14">
        <v>1658</v>
      </c>
      <c r="L141" s="15">
        <f t="shared" si="4"/>
        <v>1</v>
      </c>
      <c r="M141" s="15">
        <f t="shared" si="5"/>
        <v>1</v>
      </c>
      <c r="N141" s="14">
        <v>60</v>
      </c>
      <c r="O141" s="14">
        <v>140</v>
      </c>
      <c r="P141" s="13" t="s">
        <v>415</v>
      </c>
      <c r="Q141" s="13" t="s">
        <v>103</v>
      </c>
      <c r="R141" s="13" t="s">
        <v>414</v>
      </c>
      <c r="S141" s="13" t="s">
        <v>416</v>
      </c>
      <c r="T141" s="13" t="s">
        <v>26</v>
      </c>
      <c r="U141" s="13" t="s">
        <v>64</v>
      </c>
      <c r="V141" s="13">
        <v>4</v>
      </c>
    </row>
    <row r="142" spans="1:22">
      <c r="A142" s="3">
        <v>140</v>
      </c>
      <c r="B142" s="4">
        <v>190307</v>
      </c>
      <c r="C142" s="4" t="s">
        <v>417</v>
      </c>
      <c r="D142" s="5">
        <v>121.454843203257</v>
      </c>
      <c r="E142" s="5">
        <v>31.1406569443441</v>
      </c>
      <c r="F142" s="6">
        <v>121.454561</v>
      </c>
      <c r="G142" s="6">
        <v>31.140575</v>
      </c>
      <c r="H142" s="7">
        <v>121.454783</v>
      </c>
      <c r="I142" s="7">
        <v>31.140632</v>
      </c>
      <c r="J142" s="14">
        <v>0.8</v>
      </c>
      <c r="K142" s="14">
        <v>858</v>
      </c>
      <c r="L142" s="15">
        <f t="shared" si="4"/>
        <v>1</v>
      </c>
      <c r="M142" s="15">
        <f t="shared" si="5"/>
        <v>1</v>
      </c>
      <c r="N142" s="14">
        <v>30</v>
      </c>
      <c r="O142" s="14">
        <v>120</v>
      </c>
      <c r="P142" s="13" t="s">
        <v>418</v>
      </c>
      <c r="Q142" s="13" t="s">
        <v>157</v>
      </c>
      <c r="R142" s="13" t="s">
        <v>417</v>
      </c>
      <c r="S142" s="13" t="s">
        <v>419</v>
      </c>
      <c r="T142" s="13" t="s">
        <v>26</v>
      </c>
      <c r="U142" s="13" t="s">
        <v>37</v>
      </c>
      <c r="V142" s="13">
        <v>2</v>
      </c>
    </row>
    <row r="143" spans="1:22">
      <c r="A143" s="3">
        <v>141</v>
      </c>
      <c r="B143" s="4">
        <v>190307</v>
      </c>
      <c r="C143" s="4" t="s">
        <v>420</v>
      </c>
      <c r="D143" s="5">
        <v>121.45419</v>
      </c>
      <c r="E143" s="5">
        <v>31.144193</v>
      </c>
      <c r="F143" s="6">
        <v>121.454136</v>
      </c>
      <c r="G143" s="6">
        <v>31.144333</v>
      </c>
      <c r="H143" s="7">
        <v>121.454251</v>
      </c>
      <c r="I143" s="7">
        <v>31.144025</v>
      </c>
      <c r="J143" s="14">
        <v>0.8</v>
      </c>
      <c r="K143" s="14">
        <v>796</v>
      </c>
      <c r="L143" s="15">
        <f t="shared" si="4"/>
        <v>1</v>
      </c>
      <c r="M143" s="15">
        <f t="shared" si="5"/>
        <v>1</v>
      </c>
      <c r="N143" s="14">
        <v>30</v>
      </c>
      <c r="O143" s="14">
        <v>120</v>
      </c>
      <c r="P143" s="13" t="s">
        <v>421</v>
      </c>
      <c r="Q143" s="13" t="s">
        <v>157</v>
      </c>
      <c r="R143" s="13" t="s">
        <v>422</v>
      </c>
      <c r="S143" s="13" t="s">
        <v>422</v>
      </c>
      <c r="T143" s="13" t="s">
        <v>26</v>
      </c>
      <c r="U143" s="13" t="s">
        <v>37</v>
      </c>
      <c r="V143" s="13">
        <v>2</v>
      </c>
    </row>
    <row r="144" spans="1:22">
      <c r="A144" s="3">
        <v>142</v>
      </c>
      <c r="B144" s="4">
        <v>190307</v>
      </c>
      <c r="C144" s="4" t="s">
        <v>423</v>
      </c>
      <c r="D144" s="5">
        <v>121.427729430227</v>
      </c>
      <c r="E144" s="5">
        <v>31.2539506746068</v>
      </c>
      <c r="F144" s="6">
        <v>121.427754</v>
      </c>
      <c r="G144" s="6">
        <v>31.253866</v>
      </c>
      <c r="H144" s="7">
        <v>121.427752</v>
      </c>
      <c r="I144" s="7">
        <v>31.253799</v>
      </c>
      <c r="J144" s="14">
        <v>0.8</v>
      </c>
      <c r="K144" s="14">
        <v>1283</v>
      </c>
      <c r="L144" s="15">
        <f t="shared" si="4"/>
        <v>1</v>
      </c>
      <c r="M144" s="15">
        <f t="shared" si="5"/>
        <v>1</v>
      </c>
      <c r="N144" s="14">
        <v>30</v>
      </c>
      <c r="O144" s="14">
        <v>120</v>
      </c>
      <c r="P144" s="13" t="s">
        <v>424</v>
      </c>
      <c r="Q144" s="13" t="s">
        <v>103</v>
      </c>
      <c r="R144" s="13" t="s">
        <v>425</v>
      </c>
      <c r="S144" s="13" t="s">
        <v>425</v>
      </c>
      <c r="T144" s="13" t="s">
        <v>26</v>
      </c>
      <c r="U144" s="13" t="s">
        <v>37</v>
      </c>
      <c r="V144" s="13">
        <v>2</v>
      </c>
    </row>
    <row r="145" spans="1:22">
      <c r="A145" s="3">
        <v>143</v>
      </c>
      <c r="B145" s="4">
        <v>190307</v>
      </c>
      <c r="C145" s="4" t="s">
        <v>426</v>
      </c>
      <c r="D145" s="5">
        <v>121.432652011091</v>
      </c>
      <c r="E145" s="5">
        <v>31.2426040116714</v>
      </c>
      <c r="F145" s="6">
        <v>121.432399</v>
      </c>
      <c r="G145" s="6">
        <v>31.242819</v>
      </c>
      <c r="H145" s="7">
        <v>121.432836</v>
      </c>
      <c r="I145" s="7">
        <v>31.242488</v>
      </c>
      <c r="J145" s="14">
        <v>0.8</v>
      </c>
      <c r="K145" s="14">
        <v>1669</v>
      </c>
      <c r="L145" s="15">
        <f t="shared" si="4"/>
        <v>1</v>
      </c>
      <c r="M145" s="15">
        <f t="shared" si="5"/>
        <v>1</v>
      </c>
      <c r="N145" s="14">
        <v>60</v>
      </c>
      <c r="O145" s="14">
        <v>140</v>
      </c>
      <c r="P145" s="13" t="s">
        <v>427</v>
      </c>
      <c r="Q145" s="13" t="s">
        <v>103</v>
      </c>
      <c r="R145" s="13" t="s">
        <v>426</v>
      </c>
      <c r="S145" s="13" t="s">
        <v>233</v>
      </c>
      <c r="T145" s="13" t="s">
        <v>26</v>
      </c>
      <c r="U145" s="13" t="s">
        <v>64</v>
      </c>
      <c r="V145" s="13">
        <v>4</v>
      </c>
    </row>
    <row r="146" spans="1:22">
      <c r="A146" s="3">
        <v>144</v>
      </c>
      <c r="B146" s="4">
        <v>190307</v>
      </c>
      <c r="C146" s="4" t="s">
        <v>428</v>
      </c>
      <c r="D146" s="5">
        <v>121.457207980643</v>
      </c>
      <c r="E146" s="5">
        <v>31.1483892047</v>
      </c>
      <c r="F146" s="6">
        <v>121.457277</v>
      </c>
      <c r="G146" s="6">
        <v>31.148537</v>
      </c>
      <c r="H146" s="7">
        <v>121.457263</v>
      </c>
      <c r="I146" s="7">
        <v>31.148651</v>
      </c>
      <c r="J146" s="14">
        <v>0.8</v>
      </c>
      <c r="K146" s="14">
        <v>584</v>
      </c>
      <c r="L146" s="15">
        <f t="shared" si="4"/>
        <v>1</v>
      </c>
      <c r="M146" s="15">
        <f t="shared" si="5"/>
        <v>1</v>
      </c>
      <c r="N146" s="14">
        <v>60</v>
      </c>
      <c r="O146" s="14">
        <v>140</v>
      </c>
      <c r="P146" s="13" t="s">
        <v>429</v>
      </c>
      <c r="Q146" s="13" t="s">
        <v>157</v>
      </c>
      <c r="R146" s="13" t="s">
        <v>430</v>
      </c>
      <c r="S146" s="13" t="s">
        <v>430</v>
      </c>
      <c r="T146" s="13" t="s">
        <v>26</v>
      </c>
      <c r="U146" s="13" t="s">
        <v>64</v>
      </c>
      <c r="V146" s="13">
        <v>4</v>
      </c>
    </row>
    <row r="147" spans="1:22">
      <c r="A147" s="3">
        <v>145</v>
      </c>
      <c r="B147" s="4">
        <v>190307</v>
      </c>
      <c r="C147" s="4" t="s">
        <v>431</v>
      </c>
      <c r="D147" s="5">
        <v>121.451316425496</v>
      </c>
      <c r="E147" s="5">
        <v>31.1735533643932</v>
      </c>
      <c r="F147" s="6">
        <v>121.451373</v>
      </c>
      <c r="G147" s="6">
        <v>31.173258</v>
      </c>
      <c r="H147" s="7">
        <v>121.451405</v>
      </c>
      <c r="I147" s="7">
        <v>31.173084</v>
      </c>
      <c r="J147" s="14">
        <v>0.8</v>
      </c>
      <c r="K147" s="14">
        <v>1174</v>
      </c>
      <c r="L147" s="15">
        <f t="shared" si="4"/>
        <v>1</v>
      </c>
      <c r="M147" s="15">
        <f t="shared" si="5"/>
        <v>1</v>
      </c>
      <c r="N147" s="14">
        <v>30</v>
      </c>
      <c r="O147" s="14">
        <v>120</v>
      </c>
      <c r="P147" s="13" t="s">
        <v>432</v>
      </c>
      <c r="Q147" s="13" t="s">
        <v>157</v>
      </c>
      <c r="R147" s="13" t="s">
        <v>433</v>
      </c>
      <c r="S147" s="13" t="s">
        <v>433</v>
      </c>
      <c r="T147" s="13" t="s">
        <v>26</v>
      </c>
      <c r="U147" s="13" t="s">
        <v>37</v>
      </c>
      <c r="V147" s="13">
        <v>2</v>
      </c>
    </row>
    <row r="148" spans="1:22">
      <c r="A148" s="3">
        <v>146</v>
      </c>
      <c r="B148" s="4">
        <v>190307</v>
      </c>
      <c r="C148" s="4" t="s">
        <v>434</v>
      </c>
      <c r="D148" s="5">
        <v>121.461508962957</v>
      </c>
      <c r="E148" s="5">
        <v>31.1361592719998</v>
      </c>
      <c r="F148" s="6">
        <v>121.461378</v>
      </c>
      <c r="G148" s="6">
        <v>31.136861</v>
      </c>
      <c r="H148" s="7">
        <v>121.461636</v>
      </c>
      <c r="I148" s="7">
        <v>31.136082</v>
      </c>
      <c r="J148" s="14">
        <v>0.8</v>
      </c>
      <c r="K148" s="14">
        <v>505</v>
      </c>
      <c r="L148" s="15">
        <f t="shared" si="4"/>
        <v>1</v>
      </c>
      <c r="M148" s="15">
        <f t="shared" si="5"/>
        <v>1</v>
      </c>
      <c r="N148" s="14">
        <v>60</v>
      </c>
      <c r="O148" s="14">
        <v>140</v>
      </c>
      <c r="P148" s="13" t="s">
        <v>435</v>
      </c>
      <c r="Q148" s="13" t="s">
        <v>157</v>
      </c>
      <c r="R148" s="13" t="s">
        <v>434</v>
      </c>
      <c r="S148" s="13" t="s">
        <v>430</v>
      </c>
      <c r="T148" s="13" t="s">
        <v>26</v>
      </c>
      <c r="U148" s="13" t="s">
        <v>64</v>
      </c>
      <c r="V148" s="13">
        <v>4</v>
      </c>
    </row>
    <row r="149" spans="1:22">
      <c r="A149" s="3">
        <v>147</v>
      </c>
      <c r="B149" s="4">
        <v>190310</v>
      </c>
      <c r="C149" s="4" t="s">
        <v>436</v>
      </c>
      <c r="D149" s="5">
        <v>121.445201330933</v>
      </c>
      <c r="E149" s="5">
        <v>31.2000649875309</v>
      </c>
      <c r="F149" s="6">
        <v>121.44523</v>
      </c>
      <c r="G149" s="6">
        <v>31.199817</v>
      </c>
      <c r="H149" s="7">
        <v>121.445151</v>
      </c>
      <c r="I149" s="7">
        <v>31.200227</v>
      </c>
      <c r="J149" s="14">
        <v>0.8</v>
      </c>
      <c r="K149" s="14">
        <v>1865</v>
      </c>
      <c r="L149" s="15">
        <f t="shared" si="4"/>
        <v>1</v>
      </c>
      <c r="M149" s="15">
        <f t="shared" si="5"/>
        <v>1</v>
      </c>
      <c r="N149" s="14">
        <v>60</v>
      </c>
      <c r="O149" s="14">
        <v>140</v>
      </c>
      <c r="P149" s="13" t="s">
        <v>437</v>
      </c>
      <c r="Q149" s="13" t="s">
        <v>157</v>
      </c>
      <c r="R149" s="13" t="s">
        <v>436</v>
      </c>
      <c r="S149" s="13" t="s">
        <v>438</v>
      </c>
      <c r="T149" s="13" t="s">
        <v>70</v>
      </c>
      <c r="U149" s="13" t="s">
        <v>64</v>
      </c>
      <c r="V149" s="13">
        <v>4</v>
      </c>
    </row>
    <row r="150" spans="1:22">
      <c r="A150" s="3">
        <v>148</v>
      </c>
      <c r="B150" s="4">
        <v>190307</v>
      </c>
      <c r="C150" s="4" t="s">
        <v>439</v>
      </c>
      <c r="D150" s="5">
        <v>121.408552916112</v>
      </c>
      <c r="E150" s="5">
        <v>31.343865892285</v>
      </c>
      <c r="F150" s="6">
        <v>121.408378</v>
      </c>
      <c r="G150" s="6">
        <v>31.344175</v>
      </c>
      <c r="H150" s="7">
        <v>121.408717</v>
      </c>
      <c r="I150" s="7">
        <v>31.343647</v>
      </c>
      <c r="J150" s="14">
        <v>0.8</v>
      </c>
      <c r="K150" s="14">
        <v>551</v>
      </c>
      <c r="L150" s="15">
        <f t="shared" si="4"/>
        <v>1</v>
      </c>
      <c r="M150" s="15">
        <f t="shared" si="5"/>
        <v>1</v>
      </c>
      <c r="N150" s="14">
        <v>60</v>
      </c>
      <c r="O150" s="14">
        <v>140</v>
      </c>
      <c r="P150" s="13" t="s">
        <v>440</v>
      </c>
      <c r="Q150" s="13" t="s">
        <v>165</v>
      </c>
      <c r="R150" s="13" t="s">
        <v>441</v>
      </c>
      <c r="S150" s="13" t="s">
        <v>441</v>
      </c>
      <c r="T150" s="13" t="s">
        <v>26</v>
      </c>
      <c r="U150" s="13" t="s">
        <v>64</v>
      </c>
      <c r="V150" s="13">
        <v>4</v>
      </c>
    </row>
    <row r="151" spans="1:22">
      <c r="A151" s="3">
        <v>149</v>
      </c>
      <c r="B151" s="4">
        <v>190306</v>
      </c>
      <c r="C151" s="4" t="s">
        <v>442</v>
      </c>
      <c r="D151" s="5">
        <v>121.428740010837</v>
      </c>
      <c r="E151" s="5">
        <v>31.2659207299424</v>
      </c>
      <c r="F151" s="6">
        <v>121.428616</v>
      </c>
      <c r="G151" s="6">
        <v>31.265225</v>
      </c>
      <c r="H151" s="7">
        <v>121.428783</v>
      </c>
      <c r="I151" s="7">
        <v>31.266695</v>
      </c>
      <c r="J151" s="14">
        <v>0.8</v>
      </c>
      <c r="K151" s="14">
        <v>1284</v>
      </c>
      <c r="L151" s="15">
        <f t="shared" si="4"/>
        <v>1</v>
      </c>
      <c r="M151" s="15">
        <f t="shared" si="5"/>
        <v>1</v>
      </c>
      <c r="N151" s="14">
        <v>80</v>
      </c>
      <c r="O151" s="14">
        <v>160</v>
      </c>
      <c r="P151" s="13" t="s">
        <v>443</v>
      </c>
      <c r="Q151" s="13" t="s">
        <v>103</v>
      </c>
      <c r="R151" s="13" t="s">
        <v>442</v>
      </c>
      <c r="S151" s="13" t="s">
        <v>444</v>
      </c>
      <c r="T151" s="13" t="s">
        <v>95</v>
      </c>
      <c r="U151" s="13" t="s">
        <v>31</v>
      </c>
      <c r="V151" s="13">
        <v>4</v>
      </c>
    </row>
    <row r="152" spans="1:22">
      <c r="A152" s="3">
        <v>150</v>
      </c>
      <c r="B152" s="4">
        <v>190307</v>
      </c>
      <c r="C152" s="4" t="s">
        <v>445</v>
      </c>
      <c r="D152" s="5">
        <v>121.417561505752</v>
      </c>
      <c r="E152" s="5">
        <v>31.3117131858834</v>
      </c>
      <c r="F152" s="6">
        <v>121.417298</v>
      </c>
      <c r="G152" s="6">
        <v>31.312159</v>
      </c>
      <c r="H152" s="7">
        <v>121.417384</v>
      </c>
      <c r="I152" s="7">
        <v>31.312007</v>
      </c>
      <c r="J152" s="14">
        <v>0.8</v>
      </c>
      <c r="K152" s="14">
        <v>911</v>
      </c>
      <c r="L152" s="15">
        <f t="shared" si="4"/>
        <v>1</v>
      </c>
      <c r="M152" s="15">
        <f t="shared" si="5"/>
        <v>1</v>
      </c>
      <c r="N152" s="14">
        <v>30</v>
      </c>
      <c r="O152" s="14">
        <v>120</v>
      </c>
      <c r="P152" s="13" t="s">
        <v>446</v>
      </c>
      <c r="Q152" s="13" t="s">
        <v>165</v>
      </c>
      <c r="R152" s="13" t="s">
        <v>445</v>
      </c>
      <c r="S152" s="13" t="s">
        <v>445</v>
      </c>
      <c r="T152" s="13" t="s">
        <v>26</v>
      </c>
      <c r="U152" s="13" t="s">
        <v>37</v>
      </c>
      <c r="V152" s="13">
        <v>2</v>
      </c>
    </row>
    <row r="153" spans="1:22">
      <c r="A153" s="3">
        <v>151</v>
      </c>
      <c r="B153" s="4">
        <v>190307</v>
      </c>
      <c r="C153" s="4" t="s">
        <v>447</v>
      </c>
      <c r="D153" s="5">
        <v>121.458501207211</v>
      </c>
      <c r="E153" s="5">
        <v>31.1538179179321</v>
      </c>
      <c r="F153" s="6">
        <v>121.458483</v>
      </c>
      <c r="G153" s="6">
        <v>31.153909</v>
      </c>
      <c r="H153" s="7">
        <v>121.458523</v>
      </c>
      <c r="I153" s="7">
        <v>31.153718</v>
      </c>
      <c r="J153" s="14">
        <v>0.8</v>
      </c>
      <c r="K153" s="14">
        <v>566</v>
      </c>
      <c r="L153" s="15">
        <f t="shared" si="4"/>
        <v>1</v>
      </c>
      <c r="M153" s="15">
        <f t="shared" si="5"/>
        <v>1</v>
      </c>
      <c r="N153" s="14">
        <v>30</v>
      </c>
      <c r="O153" s="14">
        <v>120</v>
      </c>
      <c r="P153" s="13" t="s">
        <v>448</v>
      </c>
      <c r="Q153" s="13" t="s">
        <v>157</v>
      </c>
      <c r="R153" s="13" t="s">
        <v>447</v>
      </c>
      <c r="S153" s="13" t="s">
        <v>449</v>
      </c>
      <c r="T153" s="13" t="s">
        <v>26</v>
      </c>
      <c r="U153" s="13" t="s">
        <v>37</v>
      </c>
      <c r="V153" s="13">
        <v>2</v>
      </c>
    </row>
    <row r="154" spans="1:22">
      <c r="A154" s="3">
        <v>152</v>
      </c>
      <c r="B154" s="4">
        <v>190306</v>
      </c>
      <c r="C154" s="4" t="s">
        <v>450</v>
      </c>
      <c r="D154" s="5">
        <v>121.420887605397</v>
      </c>
      <c r="E154" s="5">
        <v>31.303752081697</v>
      </c>
      <c r="F154" s="6">
        <v>121.421101</v>
      </c>
      <c r="G154" s="6">
        <v>31.303666</v>
      </c>
      <c r="H154" s="7">
        <v>121.420682</v>
      </c>
      <c r="I154" s="7">
        <v>31.304178</v>
      </c>
      <c r="J154" s="14">
        <v>0.8</v>
      </c>
      <c r="K154" s="14">
        <v>1075</v>
      </c>
      <c r="L154" s="15">
        <f t="shared" si="4"/>
        <v>1</v>
      </c>
      <c r="M154" s="15">
        <f t="shared" si="5"/>
        <v>1</v>
      </c>
      <c r="N154" s="14">
        <v>80</v>
      </c>
      <c r="O154" s="14">
        <v>160</v>
      </c>
      <c r="P154" s="13" t="s">
        <v>451</v>
      </c>
      <c r="Q154" s="13" t="s">
        <v>165</v>
      </c>
      <c r="R154" s="13" t="s">
        <v>450</v>
      </c>
      <c r="S154" s="13" t="s">
        <v>441</v>
      </c>
      <c r="T154" s="13" t="s">
        <v>95</v>
      </c>
      <c r="U154" s="13" t="s">
        <v>31</v>
      </c>
      <c r="V154" s="13">
        <v>4</v>
      </c>
    </row>
    <row r="155" spans="1:22">
      <c r="A155" s="3">
        <v>153</v>
      </c>
      <c r="B155" s="4">
        <v>190310</v>
      </c>
      <c r="C155" s="4" t="s">
        <v>452</v>
      </c>
      <c r="D155" s="5">
        <v>121.463992</v>
      </c>
      <c r="E155" s="5">
        <v>31.149897</v>
      </c>
      <c r="F155" s="6">
        <v>121.457217</v>
      </c>
      <c r="G155" s="6">
        <v>31.149213</v>
      </c>
      <c r="H155" s="7">
        <v>121.472485</v>
      </c>
      <c r="I155" s="7">
        <v>31.150816</v>
      </c>
      <c r="J155" s="14">
        <v>0.8</v>
      </c>
      <c r="K155" s="14">
        <v>463</v>
      </c>
      <c r="L155" s="15">
        <f t="shared" si="4"/>
        <v>1</v>
      </c>
      <c r="M155" s="15">
        <f t="shared" si="5"/>
        <v>1</v>
      </c>
      <c r="N155" s="14">
        <v>50</v>
      </c>
      <c r="O155" s="14">
        <v>120</v>
      </c>
      <c r="P155" s="13" t="s">
        <v>453</v>
      </c>
      <c r="Q155" s="13" t="s">
        <v>157</v>
      </c>
      <c r="R155" s="13" t="s">
        <v>452</v>
      </c>
      <c r="S155" s="13" t="s">
        <v>454</v>
      </c>
      <c r="T155" s="13" t="s">
        <v>70</v>
      </c>
      <c r="U155" s="13" t="s">
        <v>27</v>
      </c>
      <c r="V155" s="13">
        <v>2</v>
      </c>
    </row>
    <row r="156" spans="1:22">
      <c r="A156" s="3">
        <v>154</v>
      </c>
      <c r="B156" s="4">
        <v>190307</v>
      </c>
      <c r="C156" s="4" t="s">
        <v>455</v>
      </c>
      <c r="D156" s="5">
        <v>121.460921964838</v>
      </c>
      <c r="E156" s="5">
        <v>31.1494725609992</v>
      </c>
      <c r="F156" s="6">
        <v>121.46078</v>
      </c>
      <c r="G156" s="6">
        <v>31.150239</v>
      </c>
      <c r="H156" s="7">
        <v>121.46099</v>
      </c>
      <c r="I156" s="7">
        <v>31.149042</v>
      </c>
      <c r="J156" s="14">
        <v>0.8</v>
      </c>
      <c r="K156" s="14">
        <v>467</v>
      </c>
      <c r="L156" s="15">
        <f t="shared" si="4"/>
        <v>1</v>
      </c>
      <c r="M156" s="15">
        <f t="shared" si="5"/>
        <v>1</v>
      </c>
      <c r="N156" s="14">
        <v>50</v>
      </c>
      <c r="O156" s="14">
        <v>120</v>
      </c>
      <c r="P156" s="13" t="s">
        <v>456</v>
      </c>
      <c r="Q156" s="13" t="s">
        <v>157</v>
      </c>
      <c r="R156" s="13" t="s">
        <v>454</v>
      </c>
      <c r="S156" s="13" t="s">
        <v>454</v>
      </c>
      <c r="T156" s="13" t="s">
        <v>26</v>
      </c>
      <c r="U156" s="13" t="s">
        <v>27</v>
      </c>
      <c r="V156" s="13">
        <v>2</v>
      </c>
    </row>
    <row r="157" spans="1:22">
      <c r="A157" s="3">
        <v>155</v>
      </c>
      <c r="B157" s="4">
        <v>190307</v>
      </c>
      <c r="C157" s="4" t="s">
        <v>457</v>
      </c>
      <c r="D157" s="5">
        <v>121.419301999933</v>
      </c>
      <c r="E157" s="5">
        <v>31.3131066059741</v>
      </c>
      <c r="F157" s="6">
        <v>121.419274</v>
      </c>
      <c r="G157" s="6">
        <v>31.313043</v>
      </c>
      <c r="H157" s="7">
        <v>121.419377</v>
      </c>
      <c r="I157" s="7">
        <v>31.312845</v>
      </c>
      <c r="J157" s="14">
        <v>0.8</v>
      </c>
      <c r="K157" s="14">
        <v>846</v>
      </c>
      <c r="L157" s="15">
        <f t="shared" si="4"/>
        <v>1</v>
      </c>
      <c r="M157" s="15">
        <f t="shared" si="5"/>
        <v>1</v>
      </c>
      <c r="N157" s="14">
        <v>60</v>
      </c>
      <c r="O157" s="14">
        <v>140</v>
      </c>
      <c r="P157" s="13" t="s">
        <v>458</v>
      </c>
      <c r="Q157" s="13" t="s">
        <v>165</v>
      </c>
      <c r="R157" s="13" t="s">
        <v>441</v>
      </c>
      <c r="S157" s="13" t="s">
        <v>441</v>
      </c>
      <c r="T157" s="13" t="s">
        <v>26</v>
      </c>
      <c r="U157" s="13" t="s">
        <v>64</v>
      </c>
      <c r="V157" s="13">
        <v>4</v>
      </c>
    </row>
    <row r="158" spans="1:22">
      <c r="A158" s="3">
        <v>156</v>
      </c>
      <c r="B158" s="4">
        <v>190307</v>
      </c>
      <c r="C158" s="4" t="s">
        <v>65</v>
      </c>
      <c r="D158" s="5">
        <v>121.465990302483</v>
      </c>
      <c r="E158" s="5">
        <v>31.136993199328</v>
      </c>
      <c r="F158" s="6">
        <v>121.465764</v>
      </c>
      <c r="G158" s="6">
        <v>31.137308</v>
      </c>
      <c r="H158" s="7">
        <v>121.466092</v>
      </c>
      <c r="I158" s="7">
        <v>31.136695</v>
      </c>
      <c r="J158" s="14">
        <v>0.8</v>
      </c>
      <c r="K158" s="14">
        <v>316</v>
      </c>
      <c r="L158" s="15">
        <f t="shared" ref="L158:L194" si="6">IF(AND(J158&lt;=0.2),4,IF(AND(J158&gt;0.2,J158&lt;=0.4),3,IF(AND(J158&gt;0.4,J158&lt;=0.7),2,IF(AND(J158&gt;0.7,J158&lt;=1),1,"其他"))))</f>
        <v>1</v>
      </c>
      <c r="M158" s="15">
        <f t="shared" ref="M158:M194" si="7">IF(AND(L158&lt;=1),1,IF(AND(L158&gt;1),2,"其他"))</f>
        <v>1</v>
      </c>
      <c r="N158" s="14">
        <v>50</v>
      </c>
      <c r="O158" s="14">
        <v>120</v>
      </c>
      <c r="P158" s="13" t="s">
        <v>459</v>
      </c>
      <c r="Q158" s="13" t="s">
        <v>157</v>
      </c>
      <c r="R158" s="13" t="s">
        <v>454</v>
      </c>
      <c r="S158" s="13" t="s">
        <v>454</v>
      </c>
      <c r="T158" s="13" t="s">
        <v>26</v>
      </c>
      <c r="U158" s="13" t="s">
        <v>27</v>
      </c>
      <c r="V158" s="13">
        <v>2</v>
      </c>
    </row>
    <row r="159" spans="1:22">
      <c r="A159" s="3">
        <v>157</v>
      </c>
      <c r="B159" s="4">
        <v>190307</v>
      </c>
      <c r="C159" s="4" t="s">
        <v>460</v>
      </c>
      <c r="D159" s="5">
        <v>121.421081375072</v>
      </c>
      <c r="E159" s="5">
        <v>31.3131380489793</v>
      </c>
      <c r="F159" s="6">
        <v>121.421104</v>
      </c>
      <c r="G159" s="6">
        <v>31.313037</v>
      </c>
      <c r="H159" s="7">
        <v>121.421057</v>
      </c>
      <c r="I159" s="7">
        <v>31.313255</v>
      </c>
      <c r="J159" s="14">
        <v>0.8</v>
      </c>
      <c r="K159" s="14">
        <v>803</v>
      </c>
      <c r="L159" s="15">
        <f t="shared" si="6"/>
        <v>1</v>
      </c>
      <c r="M159" s="15">
        <f t="shared" si="7"/>
        <v>1</v>
      </c>
      <c r="N159" s="14">
        <v>30</v>
      </c>
      <c r="O159" s="14">
        <v>120</v>
      </c>
      <c r="P159" s="13" t="s">
        <v>461</v>
      </c>
      <c r="Q159" s="13" t="s">
        <v>165</v>
      </c>
      <c r="R159" s="13" t="s">
        <v>462</v>
      </c>
      <c r="S159" s="13" t="s">
        <v>462</v>
      </c>
      <c r="T159" s="13" t="s">
        <v>26</v>
      </c>
      <c r="U159" s="13" t="s">
        <v>37</v>
      </c>
      <c r="V159" s="13">
        <v>2</v>
      </c>
    </row>
    <row r="160" spans="1:22">
      <c r="A160" s="3">
        <v>158</v>
      </c>
      <c r="B160" s="4">
        <v>190307</v>
      </c>
      <c r="C160" s="4" t="s">
        <v>323</v>
      </c>
      <c r="D160" s="5">
        <v>121.46198551901</v>
      </c>
      <c r="E160" s="5">
        <v>31.1547728647499</v>
      </c>
      <c r="F160" s="6">
        <v>121.462122</v>
      </c>
      <c r="G160" s="6">
        <v>31.155009</v>
      </c>
      <c r="H160" s="7">
        <v>121.461917</v>
      </c>
      <c r="I160" s="7">
        <v>31.154636</v>
      </c>
      <c r="J160" s="14">
        <v>0.8</v>
      </c>
      <c r="K160" s="14">
        <v>475</v>
      </c>
      <c r="L160" s="15">
        <f t="shared" si="6"/>
        <v>1</v>
      </c>
      <c r="M160" s="15">
        <f t="shared" si="7"/>
        <v>1</v>
      </c>
      <c r="N160" s="14">
        <v>50</v>
      </c>
      <c r="O160" s="14">
        <v>120</v>
      </c>
      <c r="P160" s="13" t="s">
        <v>463</v>
      </c>
      <c r="Q160" s="13" t="s">
        <v>157</v>
      </c>
      <c r="R160" s="13" t="s">
        <v>454</v>
      </c>
      <c r="S160" s="13" t="s">
        <v>454</v>
      </c>
      <c r="T160" s="13" t="s">
        <v>26</v>
      </c>
      <c r="U160" s="13" t="s">
        <v>27</v>
      </c>
      <c r="V160" s="13">
        <v>2</v>
      </c>
    </row>
    <row r="161" spans="1:22">
      <c r="A161" s="3">
        <v>159</v>
      </c>
      <c r="B161" s="4">
        <v>190307</v>
      </c>
      <c r="C161" s="4" t="s">
        <v>464</v>
      </c>
      <c r="D161" s="5">
        <v>121.41387964718</v>
      </c>
      <c r="E161" s="5">
        <v>31.3478261592242</v>
      </c>
      <c r="F161" s="6">
        <v>121.413911</v>
      </c>
      <c r="G161" s="6">
        <v>31.347839</v>
      </c>
      <c r="H161" s="7">
        <v>121.413937</v>
      </c>
      <c r="I161" s="7">
        <v>31.347743</v>
      </c>
      <c r="J161" s="14">
        <v>0.8</v>
      </c>
      <c r="K161" s="14">
        <v>516</v>
      </c>
      <c r="L161" s="15">
        <f t="shared" si="6"/>
        <v>1</v>
      </c>
      <c r="M161" s="15">
        <f t="shared" si="7"/>
        <v>1</v>
      </c>
      <c r="N161" s="14">
        <v>30</v>
      </c>
      <c r="O161" s="14">
        <v>120</v>
      </c>
      <c r="P161" s="13" t="s">
        <v>465</v>
      </c>
      <c r="Q161" s="13" t="s">
        <v>165</v>
      </c>
      <c r="R161" s="13" t="s">
        <v>466</v>
      </c>
      <c r="S161" s="13" t="s">
        <v>466</v>
      </c>
      <c r="T161" s="13" t="s">
        <v>26</v>
      </c>
      <c r="U161" s="13" t="s">
        <v>37</v>
      </c>
      <c r="V161" s="13">
        <v>2</v>
      </c>
    </row>
    <row r="162" spans="1:22">
      <c r="A162" s="3">
        <v>160</v>
      </c>
      <c r="B162" s="4">
        <v>190307</v>
      </c>
      <c r="C162" s="4" t="s">
        <v>467</v>
      </c>
      <c r="D162" s="5">
        <v>121.439013863913</v>
      </c>
      <c r="E162" s="5">
        <v>31.2514367050119</v>
      </c>
      <c r="F162" s="6">
        <v>121.438972</v>
      </c>
      <c r="G162" s="6">
        <v>31.251654</v>
      </c>
      <c r="H162" s="7">
        <v>121.439086</v>
      </c>
      <c r="I162" s="7">
        <v>31.251285</v>
      </c>
      <c r="J162" s="14">
        <v>0.8</v>
      </c>
      <c r="K162" s="14">
        <v>1688</v>
      </c>
      <c r="L162" s="15">
        <f t="shared" si="6"/>
        <v>1</v>
      </c>
      <c r="M162" s="15">
        <f t="shared" si="7"/>
        <v>1</v>
      </c>
      <c r="N162" s="14">
        <v>50</v>
      </c>
      <c r="O162" s="14">
        <v>120</v>
      </c>
      <c r="P162" s="13" t="s">
        <v>468</v>
      </c>
      <c r="Q162" s="13" t="s">
        <v>103</v>
      </c>
      <c r="R162" s="13" t="s">
        <v>467</v>
      </c>
      <c r="S162" s="13" t="s">
        <v>469</v>
      </c>
      <c r="T162" s="13" t="s">
        <v>26</v>
      </c>
      <c r="U162" s="13" t="s">
        <v>27</v>
      </c>
      <c r="V162" s="13">
        <v>2</v>
      </c>
    </row>
    <row r="163" spans="1:22">
      <c r="A163" s="3">
        <v>161</v>
      </c>
      <c r="B163" s="4">
        <v>190307</v>
      </c>
      <c r="C163" s="4" t="s">
        <v>470</v>
      </c>
      <c r="D163" s="5">
        <v>121.430976325836</v>
      </c>
      <c r="E163" s="5">
        <v>31.2864442042679</v>
      </c>
      <c r="F163" s="6">
        <v>121.43097</v>
      </c>
      <c r="G163" s="6">
        <v>31.286374</v>
      </c>
      <c r="H163" s="7">
        <v>121.431097</v>
      </c>
      <c r="I163" s="7">
        <v>31.286213</v>
      </c>
      <c r="J163" s="14">
        <v>0.8</v>
      </c>
      <c r="K163" s="14">
        <v>1298</v>
      </c>
      <c r="L163" s="15">
        <f t="shared" si="6"/>
        <v>1</v>
      </c>
      <c r="M163" s="15">
        <f t="shared" si="7"/>
        <v>1</v>
      </c>
      <c r="N163" s="14">
        <v>60</v>
      </c>
      <c r="O163" s="14">
        <v>140</v>
      </c>
      <c r="P163" s="13" t="s">
        <v>471</v>
      </c>
      <c r="Q163" s="13" t="s">
        <v>472</v>
      </c>
      <c r="R163" s="13" t="s">
        <v>441</v>
      </c>
      <c r="S163" s="13" t="s">
        <v>441</v>
      </c>
      <c r="T163" s="13" t="s">
        <v>26</v>
      </c>
      <c r="U163" s="13" t="s">
        <v>64</v>
      </c>
      <c r="V163" s="13">
        <v>4</v>
      </c>
    </row>
    <row r="164" spans="1:22">
      <c r="A164" s="3">
        <v>162</v>
      </c>
      <c r="B164" s="4">
        <v>190307</v>
      </c>
      <c r="C164" s="4" t="s">
        <v>473</v>
      </c>
      <c r="D164" s="5">
        <v>121.438222422535</v>
      </c>
      <c r="E164" s="5">
        <v>31.2585572044072</v>
      </c>
      <c r="F164" s="6">
        <v>121.438311</v>
      </c>
      <c r="G164" s="6">
        <v>31.25853</v>
      </c>
      <c r="H164" s="7">
        <v>121.438185</v>
      </c>
      <c r="I164" s="7">
        <v>31.258797</v>
      </c>
      <c r="J164" s="14">
        <v>0.8</v>
      </c>
      <c r="K164" s="14">
        <v>1460</v>
      </c>
      <c r="L164" s="15">
        <f t="shared" si="6"/>
        <v>1</v>
      </c>
      <c r="M164" s="15">
        <f t="shared" si="7"/>
        <v>1</v>
      </c>
      <c r="N164" s="14">
        <v>60</v>
      </c>
      <c r="O164" s="14">
        <v>140</v>
      </c>
      <c r="P164" s="13" t="s">
        <v>474</v>
      </c>
      <c r="Q164" s="13" t="s">
        <v>103</v>
      </c>
      <c r="R164" s="13" t="s">
        <v>473</v>
      </c>
      <c r="S164" s="13" t="s">
        <v>475</v>
      </c>
      <c r="T164" s="13" t="s">
        <v>26</v>
      </c>
      <c r="U164" s="13" t="s">
        <v>64</v>
      </c>
      <c r="V164" s="13">
        <v>4</v>
      </c>
    </row>
    <row r="165" spans="1:22">
      <c r="A165" s="3">
        <v>163</v>
      </c>
      <c r="B165" s="4">
        <v>190307</v>
      </c>
      <c r="C165" s="4" t="s">
        <v>476</v>
      </c>
      <c r="D165" s="5">
        <v>121.459086002267</v>
      </c>
      <c r="E165" s="5">
        <v>31.1772870079896</v>
      </c>
      <c r="F165" s="6">
        <v>121.458943</v>
      </c>
      <c r="G165" s="6">
        <v>31.177428</v>
      </c>
      <c r="H165" s="7">
        <v>121.459176</v>
      </c>
      <c r="I165" s="7">
        <v>31.177214</v>
      </c>
      <c r="J165" s="14">
        <v>0.8</v>
      </c>
      <c r="K165" s="14">
        <v>1235</v>
      </c>
      <c r="L165" s="15">
        <f t="shared" si="6"/>
        <v>1</v>
      </c>
      <c r="M165" s="15">
        <f t="shared" si="7"/>
        <v>1</v>
      </c>
      <c r="N165" s="14">
        <v>30</v>
      </c>
      <c r="O165" s="14">
        <v>120</v>
      </c>
      <c r="P165" s="13" t="s">
        <v>477</v>
      </c>
      <c r="Q165" s="13" t="s">
        <v>157</v>
      </c>
      <c r="R165" s="13" t="s">
        <v>476</v>
      </c>
      <c r="S165" s="13" t="s">
        <v>478</v>
      </c>
      <c r="T165" s="13" t="s">
        <v>26</v>
      </c>
      <c r="U165" s="13" t="s">
        <v>37</v>
      </c>
      <c r="V165" s="13">
        <v>2</v>
      </c>
    </row>
    <row r="166" spans="1:22">
      <c r="A166" s="3">
        <v>164</v>
      </c>
      <c r="B166" s="4">
        <v>190306</v>
      </c>
      <c r="C166" s="4" t="s">
        <v>479</v>
      </c>
      <c r="D166" s="5">
        <v>121.43730871343</v>
      </c>
      <c r="E166" s="5">
        <v>31.2643281492238</v>
      </c>
      <c r="F166" s="6">
        <v>121.437257</v>
      </c>
      <c r="G166" s="6">
        <v>31.263579</v>
      </c>
      <c r="H166" s="7">
        <v>121.437345</v>
      </c>
      <c r="I166" s="7">
        <v>31.265402</v>
      </c>
      <c r="J166" s="14">
        <v>0.8</v>
      </c>
      <c r="K166" s="14">
        <v>1433</v>
      </c>
      <c r="L166" s="15">
        <f t="shared" si="6"/>
        <v>1</v>
      </c>
      <c r="M166" s="15">
        <f t="shared" si="7"/>
        <v>1</v>
      </c>
      <c r="N166" s="14">
        <v>80</v>
      </c>
      <c r="O166" s="14">
        <v>160</v>
      </c>
      <c r="P166" s="13" t="s">
        <v>480</v>
      </c>
      <c r="Q166" s="13" t="s">
        <v>103</v>
      </c>
      <c r="R166" s="13" t="s">
        <v>479</v>
      </c>
      <c r="S166" s="13" t="s">
        <v>481</v>
      </c>
      <c r="T166" s="13" t="s">
        <v>95</v>
      </c>
      <c r="U166" s="13" t="s">
        <v>31</v>
      </c>
      <c r="V166" s="13">
        <v>4</v>
      </c>
    </row>
    <row r="167" spans="1:22">
      <c r="A167" s="3">
        <v>165</v>
      </c>
      <c r="B167" s="4">
        <v>190307</v>
      </c>
      <c r="C167" s="4" t="s">
        <v>482</v>
      </c>
      <c r="D167" s="5">
        <v>121.442084602995</v>
      </c>
      <c r="E167" s="5">
        <v>31.259334771494</v>
      </c>
      <c r="F167" s="6">
        <v>121.441819</v>
      </c>
      <c r="G167" s="6">
        <v>31.259234</v>
      </c>
      <c r="H167" s="7">
        <v>121.441907</v>
      </c>
      <c r="I167" s="7">
        <v>31.259353</v>
      </c>
      <c r="J167" s="14">
        <v>0.8</v>
      </c>
      <c r="K167" s="14">
        <v>1500</v>
      </c>
      <c r="L167" s="15">
        <f t="shared" si="6"/>
        <v>1</v>
      </c>
      <c r="M167" s="15">
        <f t="shared" si="7"/>
        <v>1</v>
      </c>
      <c r="N167" s="14">
        <v>60</v>
      </c>
      <c r="O167" s="14">
        <v>140</v>
      </c>
      <c r="P167" s="13" t="s">
        <v>483</v>
      </c>
      <c r="Q167" s="13" t="s">
        <v>103</v>
      </c>
      <c r="R167" s="13" t="s">
        <v>484</v>
      </c>
      <c r="S167" s="13" t="s">
        <v>484</v>
      </c>
      <c r="T167" s="13" t="s">
        <v>26</v>
      </c>
      <c r="U167" s="13" t="s">
        <v>64</v>
      </c>
      <c r="V167" s="13">
        <v>4</v>
      </c>
    </row>
    <row r="168" spans="1:22">
      <c r="A168" s="3">
        <v>166</v>
      </c>
      <c r="B168" s="4">
        <v>190307</v>
      </c>
      <c r="C168" s="4" t="s">
        <v>485</v>
      </c>
      <c r="D168" s="5">
        <v>121.475488885682</v>
      </c>
      <c r="E168" s="5">
        <v>31.133439453986</v>
      </c>
      <c r="F168" s="6">
        <v>121.470629</v>
      </c>
      <c r="G168" s="6">
        <v>31.131775</v>
      </c>
      <c r="H168" s="7">
        <v>121.482256</v>
      </c>
      <c r="I168" s="7">
        <v>31.135738</v>
      </c>
      <c r="J168" s="14">
        <v>0.3955</v>
      </c>
      <c r="K168" s="14">
        <v>46</v>
      </c>
      <c r="L168" s="15">
        <f t="shared" si="6"/>
        <v>3</v>
      </c>
      <c r="M168" s="15">
        <f t="shared" si="7"/>
        <v>2</v>
      </c>
      <c r="N168" s="14">
        <v>80</v>
      </c>
      <c r="O168" s="14">
        <v>160</v>
      </c>
      <c r="P168" s="13" t="s">
        <v>486</v>
      </c>
      <c r="Q168" s="13" t="s">
        <v>487</v>
      </c>
      <c r="R168" s="13" t="s">
        <v>485</v>
      </c>
      <c r="S168" s="13" t="s">
        <v>485</v>
      </c>
      <c r="T168" s="13" t="s">
        <v>304</v>
      </c>
      <c r="U168" s="13" t="s">
        <v>31</v>
      </c>
      <c r="V168" s="13">
        <v>4</v>
      </c>
    </row>
    <row r="169" spans="1:22">
      <c r="A169" s="3">
        <v>167</v>
      </c>
      <c r="B169" s="4">
        <v>190307</v>
      </c>
      <c r="C169" s="4" t="s">
        <v>488</v>
      </c>
      <c r="D169" s="5">
        <v>121.444566514845</v>
      </c>
      <c r="E169" s="5">
        <v>31.2550433892581</v>
      </c>
      <c r="F169" s="6">
        <v>121.444335</v>
      </c>
      <c r="G169" s="6">
        <v>31.255037</v>
      </c>
      <c r="H169" s="7">
        <v>121.444879</v>
      </c>
      <c r="I169" s="7">
        <v>31.255053</v>
      </c>
      <c r="J169" s="14">
        <v>0.8</v>
      </c>
      <c r="K169" s="14">
        <v>1682</v>
      </c>
      <c r="L169" s="15">
        <f t="shared" si="6"/>
        <v>1</v>
      </c>
      <c r="M169" s="15">
        <f t="shared" si="7"/>
        <v>1</v>
      </c>
      <c r="N169" s="14">
        <v>30</v>
      </c>
      <c r="O169" s="14">
        <v>120</v>
      </c>
      <c r="P169" s="13" t="s">
        <v>489</v>
      </c>
      <c r="Q169" s="13" t="s">
        <v>103</v>
      </c>
      <c r="R169" s="13" t="s">
        <v>488</v>
      </c>
      <c r="S169" s="13" t="s">
        <v>490</v>
      </c>
      <c r="T169" s="13" t="s">
        <v>26</v>
      </c>
      <c r="U169" s="13" t="s">
        <v>37</v>
      </c>
      <c r="V169" s="13">
        <v>2</v>
      </c>
    </row>
    <row r="170" spans="1:22">
      <c r="A170" s="3">
        <v>168</v>
      </c>
      <c r="B170" s="4">
        <v>190307</v>
      </c>
      <c r="C170" s="4" t="s">
        <v>491</v>
      </c>
      <c r="D170" s="5">
        <v>121.463133044145</v>
      </c>
      <c r="E170" s="5">
        <v>31.1834569431773</v>
      </c>
      <c r="F170" s="6">
        <v>121.463205</v>
      </c>
      <c r="G170" s="6">
        <v>31.183358</v>
      </c>
      <c r="H170" s="7">
        <v>121.463298</v>
      </c>
      <c r="I170" s="7">
        <v>31.182922</v>
      </c>
      <c r="J170" s="14">
        <v>0.8</v>
      </c>
      <c r="K170" s="14">
        <v>1234</v>
      </c>
      <c r="L170" s="15">
        <f t="shared" si="6"/>
        <v>1</v>
      </c>
      <c r="M170" s="15">
        <f t="shared" si="7"/>
        <v>1</v>
      </c>
      <c r="N170" s="14">
        <v>50</v>
      </c>
      <c r="O170" s="14">
        <v>120</v>
      </c>
      <c r="P170" s="13" t="s">
        <v>492</v>
      </c>
      <c r="Q170" s="13" t="s">
        <v>157</v>
      </c>
      <c r="R170" s="13" t="s">
        <v>493</v>
      </c>
      <c r="S170" s="13" t="s">
        <v>493</v>
      </c>
      <c r="T170" s="13" t="s">
        <v>26</v>
      </c>
      <c r="U170" s="13" t="s">
        <v>27</v>
      </c>
      <c r="V170" s="13">
        <v>2</v>
      </c>
    </row>
    <row r="171" s="1" customFormat="1" spans="1:22">
      <c r="A171" s="3">
        <v>169</v>
      </c>
      <c r="B171" s="4">
        <v>190307</v>
      </c>
      <c r="C171" s="4" t="s">
        <v>494</v>
      </c>
      <c r="D171" s="5">
        <v>121.437944</v>
      </c>
      <c r="E171" s="5">
        <v>31.292991</v>
      </c>
      <c r="F171" s="6">
        <v>121.437713</v>
      </c>
      <c r="G171" s="6">
        <v>31.292984</v>
      </c>
      <c r="H171" s="7">
        <v>121.438172</v>
      </c>
      <c r="I171" s="7">
        <v>31.293007</v>
      </c>
      <c r="J171" s="14">
        <v>0.8</v>
      </c>
      <c r="K171" s="14">
        <v>1282</v>
      </c>
      <c r="L171" s="15">
        <f t="shared" si="6"/>
        <v>1</v>
      </c>
      <c r="M171" s="15">
        <f t="shared" si="7"/>
        <v>1</v>
      </c>
      <c r="N171" s="14">
        <v>30</v>
      </c>
      <c r="O171" s="14">
        <v>120</v>
      </c>
      <c r="P171" s="16" t="s">
        <v>495</v>
      </c>
      <c r="Q171" s="16" t="s">
        <v>472</v>
      </c>
      <c r="R171" s="16" t="s">
        <v>496</v>
      </c>
      <c r="S171" s="16" t="s">
        <v>496</v>
      </c>
      <c r="T171" s="16" t="s">
        <v>26</v>
      </c>
      <c r="U171" s="16" t="s">
        <v>37</v>
      </c>
      <c r="V171" s="16">
        <v>2</v>
      </c>
    </row>
    <row r="172" spans="1:22">
      <c r="A172" s="3">
        <v>170</v>
      </c>
      <c r="B172" s="4">
        <v>190307</v>
      </c>
      <c r="C172" s="4" t="s">
        <v>497</v>
      </c>
      <c r="D172" s="5">
        <v>121.436024368169</v>
      </c>
      <c r="E172" s="5">
        <v>31.3053003680338</v>
      </c>
      <c r="F172" s="6">
        <v>121.436124</v>
      </c>
      <c r="G172" s="6">
        <v>31.305117</v>
      </c>
      <c r="H172" s="7">
        <v>121.436237</v>
      </c>
      <c r="I172" s="7">
        <v>31.304916</v>
      </c>
      <c r="J172" s="14">
        <v>0.8</v>
      </c>
      <c r="K172" s="14">
        <v>789</v>
      </c>
      <c r="L172" s="15">
        <f t="shared" si="6"/>
        <v>1</v>
      </c>
      <c r="M172" s="15">
        <f t="shared" si="7"/>
        <v>1</v>
      </c>
      <c r="N172" s="14">
        <v>30</v>
      </c>
      <c r="O172" s="14">
        <v>120</v>
      </c>
      <c r="P172" s="13" t="s">
        <v>498</v>
      </c>
      <c r="Q172" s="13" t="s">
        <v>472</v>
      </c>
      <c r="R172" s="13" t="s">
        <v>499</v>
      </c>
      <c r="S172" s="13" t="s">
        <v>499</v>
      </c>
      <c r="T172" s="13" t="s">
        <v>26</v>
      </c>
      <c r="U172" s="13" t="s">
        <v>37</v>
      </c>
      <c r="V172" s="13">
        <v>2</v>
      </c>
    </row>
    <row r="173" spans="1:22">
      <c r="A173" s="3">
        <v>171</v>
      </c>
      <c r="B173" s="4">
        <v>190307</v>
      </c>
      <c r="C173" s="4" t="s">
        <v>500</v>
      </c>
      <c r="D173" s="5">
        <v>121.440579347475</v>
      </c>
      <c r="E173" s="5">
        <v>31.2931896414102</v>
      </c>
      <c r="F173" s="6">
        <v>121.440516</v>
      </c>
      <c r="G173" s="6">
        <v>31.293171</v>
      </c>
      <c r="H173" s="7">
        <v>121.44072</v>
      </c>
      <c r="I173" s="7">
        <v>31.293187</v>
      </c>
      <c r="J173" s="14">
        <v>0.8</v>
      </c>
      <c r="K173" s="14">
        <v>1265</v>
      </c>
      <c r="L173" s="15">
        <f t="shared" si="6"/>
        <v>1</v>
      </c>
      <c r="M173" s="15">
        <f t="shared" si="7"/>
        <v>1</v>
      </c>
      <c r="N173" s="14">
        <v>30</v>
      </c>
      <c r="O173" s="14">
        <v>120</v>
      </c>
      <c r="P173" s="13" t="s">
        <v>501</v>
      </c>
      <c r="Q173" s="13" t="s">
        <v>472</v>
      </c>
      <c r="R173" s="13" t="s">
        <v>500</v>
      </c>
      <c r="S173" s="13" t="s">
        <v>496</v>
      </c>
      <c r="T173" s="13" t="s">
        <v>26</v>
      </c>
      <c r="U173" s="13" t="s">
        <v>37</v>
      </c>
      <c r="V173" s="13">
        <v>2</v>
      </c>
    </row>
    <row r="174" spans="1:22">
      <c r="A174" s="3">
        <v>172</v>
      </c>
      <c r="B174" s="4">
        <v>190307</v>
      </c>
      <c r="C174" s="4" t="s">
        <v>502</v>
      </c>
      <c r="D174" s="5">
        <v>121.450309056492</v>
      </c>
      <c r="E174" s="5">
        <v>31.2561503356474</v>
      </c>
      <c r="F174" s="6">
        <v>121.450338</v>
      </c>
      <c r="G174" s="6">
        <v>31.256221</v>
      </c>
      <c r="H174" s="7">
        <v>121.450351</v>
      </c>
      <c r="I174" s="7">
        <v>31.255831</v>
      </c>
      <c r="J174" s="14">
        <v>0.8</v>
      </c>
      <c r="K174" s="14">
        <v>1656</v>
      </c>
      <c r="L174" s="15">
        <f t="shared" si="6"/>
        <v>1</v>
      </c>
      <c r="M174" s="15">
        <f t="shared" si="7"/>
        <v>1</v>
      </c>
      <c r="N174" s="14">
        <v>30</v>
      </c>
      <c r="O174" s="14">
        <v>120</v>
      </c>
      <c r="P174" s="13" t="s">
        <v>503</v>
      </c>
      <c r="Q174" s="13" t="s">
        <v>103</v>
      </c>
      <c r="R174" s="13" t="s">
        <v>502</v>
      </c>
      <c r="S174" s="13" t="s">
        <v>504</v>
      </c>
      <c r="T174" s="13" t="s">
        <v>505</v>
      </c>
      <c r="U174" s="13" t="s">
        <v>37</v>
      </c>
      <c r="V174" s="13">
        <v>2</v>
      </c>
    </row>
    <row r="175" spans="1:22">
      <c r="A175" s="3">
        <v>173</v>
      </c>
      <c r="B175" s="4">
        <v>190307</v>
      </c>
      <c r="C175" s="4" t="s">
        <v>506</v>
      </c>
      <c r="D175" s="5">
        <v>121.454673</v>
      </c>
      <c r="E175" s="5">
        <v>31.251411</v>
      </c>
      <c r="F175" s="6">
        <v>121.454059</v>
      </c>
      <c r="G175" s="6">
        <v>31.251301</v>
      </c>
      <c r="H175" s="7">
        <v>121.455207</v>
      </c>
      <c r="I175" s="7">
        <v>31.251475</v>
      </c>
      <c r="J175" s="14">
        <v>0.8</v>
      </c>
      <c r="K175" s="14">
        <v>1762</v>
      </c>
      <c r="L175" s="15">
        <f t="shared" si="6"/>
        <v>1</v>
      </c>
      <c r="M175" s="15">
        <f t="shared" si="7"/>
        <v>1</v>
      </c>
      <c r="N175" s="14">
        <v>60</v>
      </c>
      <c r="O175" s="14">
        <v>140</v>
      </c>
      <c r="P175" s="13" t="s">
        <v>507</v>
      </c>
      <c r="Q175" s="13" t="s">
        <v>103</v>
      </c>
      <c r="R175" s="13" t="s">
        <v>506</v>
      </c>
      <c r="S175" s="13" t="s">
        <v>508</v>
      </c>
      <c r="T175" s="13" t="s">
        <v>26</v>
      </c>
      <c r="U175" s="13" t="s">
        <v>64</v>
      </c>
      <c r="V175" s="13">
        <v>4</v>
      </c>
    </row>
    <row r="176" spans="1:22">
      <c r="A176" s="3">
        <v>174</v>
      </c>
      <c r="B176" s="4">
        <v>190307</v>
      </c>
      <c r="C176" s="4" t="s">
        <v>509</v>
      </c>
      <c r="D176" s="5">
        <v>121.443771035529</v>
      </c>
      <c r="E176" s="5">
        <v>31.3002690106473</v>
      </c>
      <c r="F176" s="6">
        <v>121.443773</v>
      </c>
      <c r="G176" s="6">
        <v>31.300167</v>
      </c>
      <c r="H176" s="7">
        <v>121.443771</v>
      </c>
      <c r="I176" s="7">
        <v>31.30026901</v>
      </c>
      <c r="J176" s="14">
        <v>0.8</v>
      </c>
      <c r="K176" s="14">
        <v>1116</v>
      </c>
      <c r="L176" s="15">
        <f t="shared" si="6"/>
        <v>1</v>
      </c>
      <c r="M176" s="15">
        <f t="shared" si="7"/>
        <v>1</v>
      </c>
      <c r="N176" s="14">
        <v>30</v>
      </c>
      <c r="O176" s="14">
        <v>120</v>
      </c>
      <c r="P176" s="13" t="s">
        <v>510</v>
      </c>
      <c r="Q176" s="13" t="s">
        <v>472</v>
      </c>
      <c r="R176" s="13" t="s">
        <v>509</v>
      </c>
      <c r="S176" s="13" t="s">
        <v>511</v>
      </c>
      <c r="T176" s="13" t="s">
        <v>26</v>
      </c>
      <c r="U176" s="13" t="s">
        <v>37</v>
      </c>
      <c r="V176" s="13">
        <v>2</v>
      </c>
    </row>
    <row r="177" spans="1:22">
      <c r="A177" s="3">
        <v>175</v>
      </c>
      <c r="B177" s="4">
        <v>190307</v>
      </c>
      <c r="C177" s="4" t="s">
        <v>512</v>
      </c>
      <c r="D177" s="5">
        <v>121.440585425547</v>
      </c>
      <c r="E177" s="5">
        <v>31.3136204720107</v>
      </c>
      <c r="F177" s="6">
        <v>121.440545</v>
      </c>
      <c r="G177" s="6">
        <v>31.313177</v>
      </c>
      <c r="H177" s="7">
        <v>121.440521</v>
      </c>
      <c r="I177" s="7">
        <v>31.313492</v>
      </c>
      <c r="J177" s="14">
        <v>0.8</v>
      </c>
      <c r="K177" s="14">
        <v>733</v>
      </c>
      <c r="L177" s="15">
        <f t="shared" si="6"/>
        <v>1</v>
      </c>
      <c r="M177" s="15">
        <f t="shared" si="7"/>
        <v>1</v>
      </c>
      <c r="N177" s="14">
        <v>50</v>
      </c>
      <c r="O177" s="14">
        <v>120</v>
      </c>
      <c r="P177" s="13" t="s">
        <v>513</v>
      </c>
      <c r="Q177" s="13" t="s">
        <v>472</v>
      </c>
      <c r="R177" s="13" t="s">
        <v>514</v>
      </c>
      <c r="S177" s="13" t="s">
        <v>514</v>
      </c>
      <c r="T177" s="13" t="s">
        <v>26</v>
      </c>
      <c r="U177" s="13" t="s">
        <v>27</v>
      </c>
      <c r="V177" s="13">
        <v>2</v>
      </c>
    </row>
    <row r="178" spans="1:22">
      <c r="A178" s="3">
        <v>176</v>
      </c>
      <c r="B178" s="4">
        <v>190310</v>
      </c>
      <c r="C178" s="4" t="s">
        <v>515</v>
      </c>
      <c r="D178" s="5">
        <v>121.478135039224</v>
      </c>
      <c r="E178" s="5">
        <v>31.1722577548294</v>
      </c>
      <c r="F178" s="6">
        <v>121.485837</v>
      </c>
      <c r="G178" s="6">
        <v>31.173493</v>
      </c>
      <c r="H178" s="7">
        <v>121.46831</v>
      </c>
      <c r="I178" s="7">
        <v>31.168984</v>
      </c>
      <c r="J178" s="14">
        <v>0.8</v>
      </c>
      <c r="K178" s="14">
        <v>512</v>
      </c>
      <c r="L178" s="15">
        <f t="shared" si="6"/>
        <v>1</v>
      </c>
      <c r="M178" s="15">
        <f t="shared" si="7"/>
        <v>1</v>
      </c>
      <c r="N178" s="14">
        <v>50</v>
      </c>
      <c r="O178" s="14">
        <v>120</v>
      </c>
      <c r="P178" s="13" t="s">
        <v>516</v>
      </c>
      <c r="Q178" s="13" t="s">
        <v>487</v>
      </c>
      <c r="R178" s="13" t="s">
        <v>515</v>
      </c>
      <c r="S178" s="13" t="s">
        <v>515</v>
      </c>
      <c r="T178" s="13" t="s">
        <v>70</v>
      </c>
      <c r="U178" s="13" t="s">
        <v>27</v>
      </c>
      <c r="V178" s="13">
        <v>2</v>
      </c>
    </row>
    <row r="179" spans="1:22">
      <c r="A179" s="3">
        <v>177</v>
      </c>
      <c r="B179" s="4">
        <v>190307</v>
      </c>
      <c r="C179" s="4" t="s">
        <v>517</v>
      </c>
      <c r="D179" s="5">
        <v>121.455956400936</v>
      </c>
      <c r="E179" s="5">
        <v>31.2595506342458</v>
      </c>
      <c r="F179" s="6">
        <v>121.455781</v>
      </c>
      <c r="G179" s="6">
        <v>31.259593</v>
      </c>
      <c r="H179" s="7">
        <v>121.456044</v>
      </c>
      <c r="I179" s="7">
        <v>31.25948</v>
      </c>
      <c r="J179" s="14">
        <v>0.8</v>
      </c>
      <c r="K179" s="14">
        <v>1474</v>
      </c>
      <c r="L179" s="15">
        <f t="shared" si="6"/>
        <v>1</v>
      </c>
      <c r="M179" s="15">
        <f t="shared" si="7"/>
        <v>1</v>
      </c>
      <c r="N179" s="14">
        <v>50</v>
      </c>
      <c r="O179" s="14">
        <v>120</v>
      </c>
      <c r="P179" s="13" t="s">
        <v>518</v>
      </c>
      <c r="Q179" s="13" t="s">
        <v>472</v>
      </c>
      <c r="R179" s="13" t="s">
        <v>301</v>
      </c>
      <c r="S179" s="13" t="s">
        <v>301</v>
      </c>
      <c r="T179" s="13" t="s">
        <v>26</v>
      </c>
      <c r="U179" s="13" t="s">
        <v>27</v>
      </c>
      <c r="V179" s="13">
        <v>2</v>
      </c>
    </row>
    <row r="180" s="2" customFormat="1" spans="1:22">
      <c r="A180" s="3">
        <v>178</v>
      </c>
      <c r="B180" s="4">
        <v>190308</v>
      </c>
      <c r="C180" s="4" t="s">
        <v>519</v>
      </c>
      <c r="D180" s="5">
        <v>121.460136</v>
      </c>
      <c r="E180" s="5">
        <v>31.252134</v>
      </c>
      <c r="F180" s="6">
        <v>121.459564</v>
      </c>
      <c r="G180" s="6">
        <v>31.252061</v>
      </c>
      <c r="H180" s="7">
        <v>121.460847</v>
      </c>
      <c r="I180" s="7">
        <v>31.252217</v>
      </c>
      <c r="J180" s="17">
        <v>0.8</v>
      </c>
      <c r="K180" s="17">
        <v>1729</v>
      </c>
      <c r="L180" s="18">
        <f t="shared" si="6"/>
        <v>1</v>
      </c>
      <c r="M180" s="18">
        <f t="shared" si="7"/>
        <v>1</v>
      </c>
      <c r="N180" s="17">
        <v>80</v>
      </c>
      <c r="O180" s="17">
        <v>160</v>
      </c>
      <c r="P180" s="19" t="s">
        <v>520</v>
      </c>
      <c r="Q180" s="19" t="s">
        <v>472</v>
      </c>
      <c r="R180" s="19" t="s">
        <v>180</v>
      </c>
      <c r="S180" s="19" t="s">
        <v>181</v>
      </c>
      <c r="T180" s="19" t="s">
        <v>70</v>
      </c>
      <c r="U180" s="19" t="s">
        <v>31</v>
      </c>
      <c r="V180" s="19">
        <v>4</v>
      </c>
    </row>
    <row r="181" spans="1:22">
      <c r="A181" s="3">
        <v>179</v>
      </c>
      <c r="B181" s="4">
        <v>190307</v>
      </c>
      <c r="C181" s="4" t="s">
        <v>521</v>
      </c>
      <c r="D181" s="5">
        <v>121.459231487524</v>
      </c>
      <c r="E181" s="5">
        <v>31.2477727841857</v>
      </c>
      <c r="F181" s="6">
        <v>121.459476</v>
      </c>
      <c r="G181" s="6">
        <v>31.247974</v>
      </c>
      <c r="H181" s="7">
        <v>121.459129</v>
      </c>
      <c r="I181" s="7">
        <v>31.247526</v>
      </c>
      <c r="J181" s="14">
        <v>0.8</v>
      </c>
      <c r="K181" s="14">
        <v>1825</v>
      </c>
      <c r="L181" s="15">
        <f t="shared" si="6"/>
        <v>1</v>
      </c>
      <c r="M181" s="15">
        <f t="shared" si="7"/>
        <v>1</v>
      </c>
      <c r="N181" s="14">
        <v>30</v>
      </c>
      <c r="O181" s="14">
        <v>120</v>
      </c>
      <c r="P181" s="13" t="s">
        <v>522</v>
      </c>
      <c r="Q181" s="13" t="s">
        <v>472</v>
      </c>
      <c r="R181" s="13" t="s">
        <v>523</v>
      </c>
      <c r="S181" s="13" t="s">
        <v>523</v>
      </c>
      <c r="T181" s="13" t="s">
        <v>26</v>
      </c>
      <c r="U181" s="13" t="s">
        <v>37</v>
      </c>
      <c r="V181" s="13">
        <v>2</v>
      </c>
    </row>
    <row r="182" spans="1:22">
      <c r="A182" s="3">
        <v>180</v>
      </c>
      <c r="B182" s="4">
        <v>190306</v>
      </c>
      <c r="C182" s="4" t="s">
        <v>524</v>
      </c>
      <c r="D182" s="5">
        <v>121.458884991885</v>
      </c>
      <c r="E182" s="5">
        <v>31.2541286305758</v>
      </c>
      <c r="F182" s="6">
        <v>121.459033</v>
      </c>
      <c r="G182" s="6">
        <v>31.253807</v>
      </c>
      <c r="H182" s="7">
        <v>121.45815</v>
      </c>
      <c r="I182" s="7">
        <v>31.25971</v>
      </c>
      <c r="J182" s="14">
        <v>0.8</v>
      </c>
      <c r="K182" s="14">
        <v>1695</v>
      </c>
      <c r="L182" s="15">
        <f t="shared" si="6"/>
        <v>1</v>
      </c>
      <c r="M182" s="15">
        <f t="shared" si="7"/>
        <v>1</v>
      </c>
      <c r="N182" s="14">
        <v>80</v>
      </c>
      <c r="O182" s="14">
        <v>160</v>
      </c>
      <c r="P182" s="13" t="s">
        <v>525</v>
      </c>
      <c r="Q182" s="13" t="s">
        <v>472</v>
      </c>
      <c r="R182" s="13" t="s">
        <v>524</v>
      </c>
      <c r="S182" s="13" t="s">
        <v>526</v>
      </c>
      <c r="T182" s="13" t="s">
        <v>95</v>
      </c>
      <c r="U182" s="13" t="s">
        <v>31</v>
      </c>
      <c r="V182" s="13">
        <v>4</v>
      </c>
    </row>
    <row r="183" spans="1:22">
      <c r="A183" s="3">
        <v>181</v>
      </c>
      <c r="B183" s="4">
        <v>190307</v>
      </c>
      <c r="C183" s="4" t="s">
        <v>527</v>
      </c>
      <c r="D183" s="5">
        <v>121.461231994107</v>
      </c>
      <c r="E183" s="5">
        <v>31.2457789450635</v>
      </c>
      <c r="F183" s="6">
        <v>121.461025</v>
      </c>
      <c r="G183" s="6">
        <v>31.245551</v>
      </c>
      <c r="H183" s="7">
        <v>121.46158</v>
      </c>
      <c r="I183" s="7">
        <v>31.245841</v>
      </c>
      <c r="J183" s="14">
        <v>0.8</v>
      </c>
      <c r="K183" s="14">
        <v>1833</v>
      </c>
      <c r="L183" s="15">
        <f t="shared" si="6"/>
        <v>1</v>
      </c>
      <c r="M183" s="15">
        <f t="shared" si="7"/>
        <v>1</v>
      </c>
      <c r="N183" s="14">
        <v>50</v>
      </c>
      <c r="O183" s="14">
        <v>120</v>
      </c>
      <c r="P183" s="13" t="s">
        <v>528</v>
      </c>
      <c r="Q183" s="13" t="s">
        <v>472</v>
      </c>
      <c r="R183" s="13" t="s">
        <v>529</v>
      </c>
      <c r="S183" s="13" t="s">
        <v>530</v>
      </c>
      <c r="T183" s="13" t="s">
        <v>505</v>
      </c>
      <c r="U183" s="13" t="s">
        <v>27</v>
      </c>
      <c r="V183" s="13">
        <v>2</v>
      </c>
    </row>
    <row r="184" spans="1:22">
      <c r="A184" s="3">
        <v>182</v>
      </c>
      <c r="B184" s="4">
        <v>190307</v>
      </c>
      <c r="C184" s="4" t="s">
        <v>531</v>
      </c>
      <c r="D184" s="5">
        <v>121.45436146441</v>
      </c>
      <c r="E184" s="5">
        <v>31.2741951970612</v>
      </c>
      <c r="F184" s="6">
        <v>121.45436</v>
      </c>
      <c r="G184" s="6">
        <v>31.274294</v>
      </c>
      <c r="H184" s="7">
        <v>121.454444</v>
      </c>
      <c r="I184" s="7">
        <v>31.274166</v>
      </c>
      <c r="J184" s="14">
        <v>0.8</v>
      </c>
      <c r="K184" s="14">
        <v>1434</v>
      </c>
      <c r="L184" s="15">
        <f t="shared" si="6"/>
        <v>1</v>
      </c>
      <c r="M184" s="15">
        <f t="shared" si="7"/>
        <v>1</v>
      </c>
      <c r="N184" s="14">
        <v>30</v>
      </c>
      <c r="O184" s="14">
        <v>120</v>
      </c>
      <c r="P184" s="13" t="s">
        <v>532</v>
      </c>
      <c r="Q184" s="13" t="s">
        <v>472</v>
      </c>
      <c r="R184" s="13" t="s">
        <v>533</v>
      </c>
      <c r="S184" s="13" t="s">
        <v>533</v>
      </c>
      <c r="T184" s="13" t="s">
        <v>26</v>
      </c>
      <c r="U184" s="13" t="s">
        <v>37</v>
      </c>
      <c r="V184" s="13">
        <v>2</v>
      </c>
    </row>
    <row r="185" spans="1:22">
      <c r="A185" s="3">
        <v>183</v>
      </c>
      <c r="B185" s="4">
        <v>190307</v>
      </c>
      <c r="C185" s="4" t="s">
        <v>534</v>
      </c>
      <c r="D185" s="5">
        <v>121.457361894344</v>
      </c>
      <c r="E185" s="5">
        <v>31.2626321780811</v>
      </c>
      <c r="F185" s="6">
        <v>121.45743</v>
      </c>
      <c r="G185" s="6">
        <v>31.26267</v>
      </c>
      <c r="H185" s="7">
        <v>121.457569</v>
      </c>
      <c r="I185" s="7">
        <v>31.262499</v>
      </c>
      <c r="J185" s="14">
        <v>0.8</v>
      </c>
      <c r="K185" s="14">
        <v>1454</v>
      </c>
      <c r="L185" s="15">
        <f t="shared" si="6"/>
        <v>1</v>
      </c>
      <c r="M185" s="15">
        <f t="shared" si="7"/>
        <v>1</v>
      </c>
      <c r="N185" s="14">
        <v>60</v>
      </c>
      <c r="O185" s="14">
        <v>140</v>
      </c>
      <c r="P185" s="13" t="s">
        <v>535</v>
      </c>
      <c r="Q185" s="13" t="s">
        <v>103</v>
      </c>
      <c r="R185" s="13" t="s">
        <v>441</v>
      </c>
      <c r="S185" s="13" t="s">
        <v>441</v>
      </c>
      <c r="T185" s="13" t="s">
        <v>26</v>
      </c>
      <c r="U185" s="13" t="s">
        <v>64</v>
      </c>
      <c r="V185" s="13">
        <v>4</v>
      </c>
    </row>
    <row r="186" spans="1:22">
      <c r="A186" s="3">
        <v>184</v>
      </c>
      <c r="B186" s="4">
        <v>190307</v>
      </c>
      <c r="C186" s="4" t="s">
        <v>536</v>
      </c>
      <c r="D186" s="5">
        <v>121.48182116134</v>
      </c>
      <c r="E186" s="5">
        <v>31.1674534316431</v>
      </c>
      <c r="F186" s="6">
        <v>121.48172</v>
      </c>
      <c r="G186" s="6">
        <v>31.168041</v>
      </c>
      <c r="H186" s="7">
        <v>121.481855</v>
      </c>
      <c r="I186" s="7">
        <v>31.167172</v>
      </c>
      <c r="J186" s="14">
        <v>0.8</v>
      </c>
      <c r="K186" s="14">
        <v>768</v>
      </c>
      <c r="L186" s="15">
        <f t="shared" si="6"/>
        <v>1</v>
      </c>
      <c r="M186" s="15">
        <f t="shared" si="7"/>
        <v>1</v>
      </c>
      <c r="N186" s="14">
        <v>60</v>
      </c>
      <c r="O186" s="14">
        <v>140</v>
      </c>
      <c r="P186" s="13" t="s">
        <v>537</v>
      </c>
      <c r="Q186" s="13" t="s">
        <v>487</v>
      </c>
      <c r="R186" s="13" t="s">
        <v>536</v>
      </c>
      <c r="S186" s="13" t="s">
        <v>538</v>
      </c>
      <c r="T186" s="13" t="s">
        <v>26</v>
      </c>
      <c r="U186" s="13" t="s">
        <v>64</v>
      </c>
      <c r="V186" s="13">
        <v>4</v>
      </c>
    </row>
    <row r="187" spans="1:22">
      <c r="A187" s="3">
        <v>185</v>
      </c>
      <c r="B187" s="4">
        <v>190307</v>
      </c>
      <c r="C187" s="4" t="s">
        <v>539</v>
      </c>
      <c r="D187" s="5">
        <v>121.45588097885</v>
      </c>
      <c r="E187" s="5">
        <v>31.2708163231366</v>
      </c>
      <c r="F187" s="6">
        <v>121.45609</v>
      </c>
      <c r="G187" s="6">
        <v>31.27092</v>
      </c>
      <c r="H187" s="7">
        <v>121.455903</v>
      </c>
      <c r="I187" s="7">
        <v>31.270817</v>
      </c>
      <c r="J187" s="14">
        <v>0.8</v>
      </c>
      <c r="K187" s="14">
        <v>1410</v>
      </c>
      <c r="L187" s="15">
        <f t="shared" si="6"/>
        <v>1</v>
      </c>
      <c r="M187" s="15">
        <f t="shared" si="7"/>
        <v>1</v>
      </c>
      <c r="N187" s="14">
        <v>30</v>
      </c>
      <c r="O187" s="14">
        <v>120</v>
      </c>
      <c r="P187" s="13" t="s">
        <v>540</v>
      </c>
      <c r="Q187" s="13" t="s">
        <v>472</v>
      </c>
      <c r="R187" s="13" t="s">
        <v>539</v>
      </c>
      <c r="S187" s="13" t="s">
        <v>541</v>
      </c>
      <c r="T187" s="13" t="s">
        <v>26</v>
      </c>
      <c r="U187" s="13" t="s">
        <v>37</v>
      </c>
      <c r="V187" s="13">
        <v>2</v>
      </c>
    </row>
    <row r="188" spans="1:22">
      <c r="A188" s="3">
        <v>186</v>
      </c>
      <c r="B188" s="4">
        <v>190310</v>
      </c>
      <c r="C188" s="4" t="s">
        <v>542</v>
      </c>
      <c r="D188" s="5">
        <v>121.447574908894</v>
      </c>
      <c r="E188" s="5">
        <v>31.3071284033053</v>
      </c>
      <c r="F188" s="6">
        <v>121.447449</v>
      </c>
      <c r="G188" s="6">
        <v>31.305422</v>
      </c>
      <c r="H188" s="7">
        <v>121.447633</v>
      </c>
      <c r="I188" s="7">
        <v>31.308062</v>
      </c>
      <c r="J188" s="14">
        <v>0.8</v>
      </c>
      <c r="K188" s="14">
        <v>1148</v>
      </c>
      <c r="L188" s="15">
        <f t="shared" si="6"/>
        <v>1</v>
      </c>
      <c r="M188" s="15">
        <f t="shared" si="7"/>
        <v>1</v>
      </c>
      <c r="N188" s="14">
        <v>30</v>
      </c>
      <c r="O188" s="14">
        <v>120</v>
      </c>
      <c r="P188" s="13" t="s">
        <v>543</v>
      </c>
      <c r="Q188" s="13" t="s">
        <v>472</v>
      </c>
      <c r="R188" s="13" t="s">
        <v>542</v>
      </c>
      <c r="S188" s="13" t="s">
        <v>544</v>
      </c>
      <c r="T188" s="13" t="s">
        <v>70</v>
      </c>
      <c r="U188" s="13" t="s">
        <v>37</v>
      </c>
      <c r="V188" s="13">
        <v>2</v>
      </c>
    </row>
    <row r="189" spans="1:22">
      <c r="A189" s="3">
        <v>187</v>
      </c>
      <c r="B189" s="4">
        <v>190310</v>
      </c>
      <c r="C189" s="4" t="s">
        <v>545</v>
      </c>
      <c r="D189" s="5">
        <v>121.476709251491</v>
      </c>
      <c r="E189" s="5">
        <v>31.1969745969711</v>
      </c>
      <c r="F189" s="6">
        <v>121.475408</v>
      </c>
      <c r="G189" s="6">
        <v>31.196459</v>
      </c>
      <c r="H189" s="7">
        <v>121.47888</v>
      </c>
      <c r="I189" s="7">
        <v>31.197245</v>
      </c>
      <c r="J189" s="14">
        <v>0.8</v>
      </c>
      <c r="K189" s="14">
        <v>1214</v>
      </c>
      <c r="L189" s="15">
        <f t="shared" si="6"/>
        <v>1</v>
      </c>
      <c r="M189" s="15">
        <f t="shared" si="7"/>
        <v>1</v>
      </c>
      <c r="N189" s="14">
        <v>30</v>
      </c>
      <c r="O189" s="14">
        <v>120</v>
      </c>
      <c r="P189" s="13" t="s">
        <v>546</v>
      </c>
      <c r="Q189" s="13" t="s">
        <v>157</v>
      </c>
      <c r="R189" s="13" t="s">
        <v>545</v>
      </c>
      <c r="S189" s="13" t="s">
        <v>547</v>
      </c>
      <c r="T189" s="13" t="s">
        <v>70</v>
      </c>
      <c r="U189" s="13" t="s">
        <v>37</v>
      </c>
      <c r="V189" s="13">
        <v>2</v>
      </c>
    </row>
    <row r="190" spans="1:22">
      <c r="A190" s="3">
        <v>188</v>
      </c>
      <c r="B190" s="4">
        <v>190307</v>
      </c>
      <c r="C190" s="4" t="s">
        <v>548</v>
      </c>
      <c r="D190" s="5">
        <v>121.465234540752</v>
      </c>
      <c r="E190" s="5">
        <v>31.2446006433902</v>
      </c>
      <c r="F190" s="6">
        <v>121.465136</v>
      </c>
      <c r="G190" s="6">
        <v>31.244871</v>
      </c>
      <c r="H190" s="7">
        <v>121.465376</v>
      </c>
      <c r="I190" s="7">
        <v>31.244399</v>
      </c>
      <c r="J190" s="14">
        <v>0.8</v>
      </c>
      <c r="K190" s="14">
        <v>1839</v>
      </c>
      <c r="L190" s="15">
        <f t="shared" si="6"/>
        <v>1</v>
      </c>
      <c r="M190" s="15">
        <f t="shared" si="7"/>
        <v>1</v>
      </c>
      <c r="N190" s="14">
        <v>50</v>
      </c>
      <c r="O190" s="14">
        <v>120</v>
      </c>
      <c r="P190" s="13" t="s">
        <v>549</v>
      </c>
      <c r="Q190" s="13" t="s">
        <v>472</v>
      </c>
      <c r="R190" s="13" t="s">
        <v>548</v>
      </c>
      <c r="S190" s="13" t="s">
        <v>526</v>
      </c>
      <c r="T190" s="13" t="s">
        <v>26</v>
      </c>
      <c r="U190" s="13" t="s">
        <v>27</v>
      </c>
      <c r="V190" s="13">
        <v>2</v>
      </c>
    </row>
    <row r="191" spans="1:22">
      <c r="A191" s="3">
        <v>189</v>
      </c>
      <c r="B191" s="4">
        <v>190307</v>
      </c>
      <c r="C191" s="4" t="s">
        <v>550</v>
      </c>
      <c r="D191" s="5">
        <v>121.459495646647</v>
      </c>
      <c r="E191" s="5">
        <v>31.2669571537785</v>
      </c>
      <c r="F191" s="6">
        <v>121.459464</v>
      </c>
      <c r="G191" s="6">
        <v>31.26694</v>
      </c>
      <c r="H191" s="7">
        <v>121.459665</v>
      </c>
      <c r="I191" s="7">
        <v>31.267005</v>
      </c>
      <c r="J191" s="14">
        <v>0.8</v>
      </c>
      <c r="K191" s="14">
        <v>1458</v>
      </c>
      <c r="L191" s="15">
        <f t="shared" si="6"/>
        <v>1</v>
      </c>
      <c r="M191" s="15">
        <f t="shared" si="7"/>
        <v>1</v>
      </c>
      <c r="N191" s="14">
        <v>30</v>
      </c>
      <c r="O191" s="14">
        <v>120</v>
      </c>
      <c r="P191" s="13" t="s">
        <v>551</v>
      </c>
      <c r="Q191" s="13" t="s">
        <v>472</v>
      </c>
      <c r="R191" s="13" t="s">
        <v>552</v>
      </c>
      <c r="S191" s="13" t="s">
        <v>552</v>
      </c>
      <c r="T191" s="13" t="s">
        <v>26</v>
      </c>
      <c r="U191" s="13" t="s">
        <v>37</v>
      </c>
      <c r="V191" s="13">
        <v>2</v>
      </c>
    </row>
    <row r="192" spans="1:22">
      <c r="A192" s="3">
        <v>190</v>
      </c>
      <c r="B192" s="4">
        <v>190307</v>
      </c>
      <c r="C192" s="4" t="s">
        <v>553</v>
      </c>
      <c r="D192" s="5">
        <v>121.488206552811</v>
      </c>
      <c r="E192" s="5">
        <v>31.1687902553069</v>
      </c>
      <c r="F192" s="6">
        <v>121.488015</v>
      </c>
      <c r="G192" s="6">
        <v>31.169332</v>
      </c>
      <c r="H192" s="7">
        <v>121.488491</v>
      </c>
      <c r="I192" s="7">
        <v>31.168146</v>
      </c>
      <c r="J192" s="14">
        <v>0.300625</v>
      </c>
      <c r="K192" s="14">
        <v>842</v>
      </c>
      <c r="L192" s="15">
        <f t="shared" si="6"/>
        <v>3</v>
      </c>
      <c r="M192" s="15">
        <f t="shared" si="7"/>
        <v>2</v>
      </c>
      <c r="N192" s="14">
        <v>80</v>
      </c>
      <c r="O192" s="14">
        <v>160</v>
      </c>
      <c r="P192" s="13" t="s">
        <v>554</v>
      </c>
      <c r="Q192" s="13" t="s">
        <v>487</v>
      </c>
      <c r="R192" s="13" t="s">
        <v>555</v>
      </c>
      <c r="S192" s="13" t="s">
        <v>555</v>
      </c>
      <c r="T192" s="13" t="s">
        <v>26</v>
      </c>
      <c r="U192" s="13" t="s">
        <v>31</v>
      </c>
      <c r="V192" s="13">
        <v>4</v>
      </c>
    </row>
    <row r="193" spans="1:22">
      <c r="A193" s="3">
        <v>191</v>
      </c>
      <c r="B193" s="4">
        <v>190306</v>
      </c>
      <c r="C193" s="4" t="s">
        <v>556</v>
      </c>
      <c r="D193" s="5">
        <v>121.468447735835</v>
      </c>
      <c r="E193" s="5">
        <v>31.2507432947966</v>
      </c>
      <c r="F193" s="6">
        <v>121.468464</v>
      </c>
      <c r="G193" s="6">
        <v>31.250006</v>
      </c>
      <c r="H193" s="7">
        <v>121.468799</v>
      </c>
      <c r="I193" s="7">
        <v>31.252245</v>
      </c>
      <c r="J193" s="14">
        <v>0.217875</v>
      </c>
      <c r="K193" s="14">
        <v>1686</v>
      </c>
      <c r="L193" s="15">
        <f t="shared" si="6"/>
        <v>3</v>
      </c>
      <c r="M193" s="15">
        <f t="shared" si="7"/>
        <v>2</v>
      </c>
      <c r="N193" s="14">
        <v>80</v>
      </c>
      <c r="O193" s="14">
        <v>160</v>
      </c>
      <c r="P193" s="13" t="s">
        <v>557</v>
      </c>
      <c r="Q193" s="13" t="s">
        <v>472</v>
      </c>
      <c r="R193" s="13" t="s">
        <v>556</v>
      </c>
      <c r="S193" s="13" t="s">
        <v>556</v>
      </c>
      <c r="T193" s="13" t="s">
        <v>95</v>
      </c>
      <c r="U193" s="13" t="s">
        <v>31</v>
      </c>
      <c r="V193" s="13">
        <v>4</v>
      </c>
    </row>
    <row r="194" spans="1:22">
      <c r="A194" s="3">
        <v>192</v>
      </c>
      <c r="B194" s="4">
        <v>190306</v>
      </c>
      <c r="C194" s="4" t="s">
        <v>558</v>
      </c>
      <c r="D194" s="5">
        <v>121.456443687151</v>
      </c>
      <c r="E194" s="5">
        <v>31.2993721895243</v>
      </c>
      <c r="F194" s="6">
        <v>121.45704</v>
      </c>
      <c r="G194" s="6">
        <v>31.297117</v>
      </c>
      <c r="H194" s="7">
        <v>121.45622</v>
      </c>
      <c r="I194" s="7">
        <v>31.300941</v>
      </c>
      <c r="J194" s="14">
        <v>0.8</v>
      </c>
      <c r="K194" s="14">
        <v>1245</v>
      </c>
      <c r="L194" s="15">
        <f t="shared" si="6"/>
        <v>1</v>
      </c>
      <c r="M194" s="15">
        <f t="shared" si="7"/>
        <v>1</v>
      </c>
      <c r="N194" s="14">
        <v>80</v>
      </c>
      <c r="O194" s="14">
        <v>160</v>
      </c>
      <c r="P194" s="13" t="s">
        <v>559</v>
      </c>
      <c r="Q194" s="13" t="s">
        <v>472</v>
      </c>
      <c r="R194" s="13" t="s">
        <v>558</v>
      </c>
      <c r="S194" s="13" t="s">
        <v>560</v>
      </c>
      <c r="T194" s="13" t="s">
        <v>95</v>
      </c>
      <c r="U194" s="13" t="s">
        <v>31</v>
      </c>
      <c r="V194" s="13">
        <v>4</v>
      </c>
    </row>
    <row r="195" spans="1:22">
      <c r="A195" s="3">
        <v>193</v>
      </c>
      <c r="B195" s="4">
        <v>190306</v>
      </c>
      <c r="C195" s="4" t="s">
        <v>561</v>
      </c>
      <c r="D195" s="5">
        <v>121.455307193488</v>
      </c>
      <c r="E195" s="5">
        <v>31.3095205989115</v>
      </c>
      <c r="F195" s="6">
        <v>121.455314</v>
      </c>
      <c r="G195" s="6">
        <v>31.308201</v>
      </c>
      <c r="H195" s="7">
        <v>121.455131</v>
      </c>
      <c r="I195" s="7">
        <v>31.311518</v>
      </c>
      <c r="J195" s="14">
        <v>0.8</v>
      </c>
      <c r="K195" s="14">
        <v>1217</v>
      </c>
      <c r="L195" s="15">
        <f t="shared" ref="L195:L255" si="8">IF(AND(J195&lt;=0.2),4,IF(AND(J195&gt;0.2,J195&lt;=0.4),3,IF(AND(J195&gt;0.4,J195&lt;=0.7),2,IF(AND(J195&gt;0.7,J195&lt;=1),1,"其他"))))</f>
        <v>1</v>
      </c>
      <c r="M195" s="15">
        <f t="shared" ref="M195:M255" si="9">IF(AND(L195&lt;=1),1,IF(AND(L195&gt;1),2,"其他"))</f>
        <v>1</v>
      </c>
      <c r="N195" s="14">
        <v>80</v>
      </c>
      <c r="O195" s="14">
        <v>160</v>
      </c>
      <c r="P195" s="13" t="s">
        <v>562</v>
      </c>
      <c r="Q195" s="13" t="s">
        <v>472</v>
      </c>
      <c r="R195" s="13" t="s">
        <v>560</v>
      </c>
      <c r="S195" s="13" t="s">
        <v>560</v>
      </c>
      <c r="T195" s="13" t="s">
        <v>95</v>
      </c>
      <c r="U195" s="13" t="s">
        <v>31</v>
      </c>
      <c r="V195" s="13">
        <v>4</v>
      </c>
    </row>
    <row r="196" spans="1:22">
      <c r="A196" s="3">
        <v>194</v>
      </c>
      <c r="B196" s="4">
        <v>190306</v>
      </c>
      <c r="C196" s="4" t="s">
        <v>563</v>
      </c>
      <c r="D196" s="5">
        <v>121.475818123356</v>
      </c>
      <c r="E196" s="5">
        <v>31.2304100621762</v>
      </c>
      <c r="F196" s="6">
        <v>121.4758181</v>
      </c>
      <c r="G196" s="6">
        <v>31.23041006</v>
      </c>
      <c r="H196" s="7">
        <v>121.474071</v>
      </c>
      <c r="I196" s="7">
        <v>31.232497</v>
      </c>
      <c r="J196" s="14">
        <v>0.8</v>
      </c>
      <c r="K196" s="14">
        <v>1988</v>
      </c>
      <c r="L196" s="15">
        <f t="shared" si="8"/>
        <v>1</v>
      </c>
      <c r="M196" s="15">
        <f t="shared" si="9"/>
        <v>1</v>
      </c>
      <c r="N196" s="14">
        <v>80</v>
      </c>
      <c r="O196" s="14">
        <v>160</v>
      </c>
      <c r="P196" s="13" t="s">
        <v>564</v>
      </c>
      <c r="Q196" s="13" t="s">
        <v>565</v>
      </c>
      <c r="R196" s="13" t="s">
        <v>563</v>
      </c>
      <c r="S196" s="13" t="s">
        <v>566</v>
      </c>
      <c r="T196" s="13" t="s">
        <v>95</v>
      </c>
      <c r="U196" s="13" t="s">
        <v>31</v>
      </c>
      <c r="V196" s="13">
        <v>4</v>
      </c>
    </row>
    <row r="197" spans="1:22">
      <c r="A197" s="3">
        <v>195</v>
      </c>
      <c r="B197" s="4">
        <v>190307</v>
      </c>
      <c r="C197" s="4" t="s">
        <v>567</v>
      </c>
      <c r="D197" s="5">
        <v>121.472470711323</v>
      </c>
      <c r="E197" s="5">
        <v>31.2469394457893</v>
      </c>
      <c r="F197" s="6">
        <v>121.472362</v>
      </c>
      <c r="G197" s="6">
        <v>31.246681</v>
      </c>
      <c r="H197" s="7">
        <v>121.472578</v>
      </c>
      <c r="I197" s="7">
        <v>31.247121</v>
      </c>
      <c r="J197" s="14">
        <v>0.8</v>
      </c>
      <c r="K197" s="14">
        <v>1808</v>
      </c>
      <c r="L197" s="15">
        <f t="shared" si="8"/>
        <v>1</v>
      </c>
      <c r="M197" s="15">
        <f t="shared" si="9"/>
        <v>1</v>
      </c>
      <c r="N197" s="14">
        <v>30</v>
      </c>
      <c r="O197" s="14">
        <v>120</v>
      </c>
      <c r="P197" s="13" t="s">
        <v>568</v>
      </c>
      <c r="Q197" s="13" t="s">
        <v>472</v>
      </c>
      <c r="R197" s="13" t="s">
        <v>567</v>
      </c>
      <c r="S197" s="13" t="s">
        <v>569</v>
      </c>
      <c r="T197" s="13" t="s">
        <v>505</v>
      </c>
      <c r="U197" s="13" t="s">
        <v>37</v>
      </c>
      <c r="V197" s="13">
        <v>2</v>
      </c>
    </row>
    <row r="198" spans="1:22">
      <c r="A198" s="3">
        <v>196</v>
      </c>
      <c r="B198" s="4">
        <v>190306</v>
      </c>
      <c r="C198" s="4" t="s">
        <v>570</v>
      </c>
      <c r="D198" s="5">
        <v>121.484151703552</v>
      </c>
      <c r="E198" s="5">
        <v>31.2032407804457</v>
      </c>
      <c r="F198" s="6">
        <v>121.48528</v>
      </c>
      <c r="G198" s="6">
        <v>31.200753</v>
      </c>
      <c r="H198" s="7">
        <v>121.483062</v>
      </c>
      <c r="I198" s="7">
        <v>31.205413</v>
      </c>
      <c r="J198" s="14">
        <v>0.8</v>
      </c>
      <c r="K198" s="14">
        <v>1514</v>
      </c>
      <c r="L198" s="15">
        <f t="shared" si="8"/>
        <v>1</v>
      </c>
      <c r="M198" s="15">
        <f t="shared" si="9"/>
        <v>1</v>
      </c>
      <c r="N198" s="14">
        <v>80</v>
      </c>
      <c r="O198" s="14">
        <v>160</v>
      </c>
      <c r="P198" s="13" t="s">
        <v>571</v>
      </c>
      <c r="Q198" s="13" t="s">
        <v>565</v>
      </c>
      <c r="R198" s="13" t="s">
        <v>570</v>
      </c>
      <c r="S198" s="13" t="s">
        <v>572</v>
      </c>
      <c r="T198" s="13" t="s">
        <v>95</v>
      </c>
      <c r="U198" s="13" t="s">
        <v>31</v>
      </c>
      <c r="V198" s="13">
        <v>4</v>
      </c>
    </row>
    <row r="199" spans="1:22">
      <c r="A199" s="3">
        <v>197</v>
      </c>
      <c r="B199" s="4">
        <v>190306</v>
      </c>
      <c r="C199" s="4" t="s">
        <v>573</v>
      </c>
      <c r="D199" s="5">
        <v>121.467992970283</v>
      </c>
      <c r="E199" s="5">
        <v>31.2669510783955</v>
      </c>
      <c r="F199" s="6">
        <v>121.4693</v>
      </c>
      <c r="G199" s="6">
        <v>31.265409</v>
      </c>
      <c r="H199" s="7">
        <v>121.466654</v>
      </c>
      <c r="I199" s="7">
        <v>31.268945</v>
      </c>
      <c r="J199" s="14">
        <v>0.8</v>
      </c>
      <c r="K199" s="14">
        <v>1553</v>
      </c>
      <c r="L199" s="15">
        <f t="shared" si="8"/>
        <v>1</v>
      </c>
      <c r="M199" s="15">
        <f t="shared" si="9"/>
        <v>1</v>
      </c>
      <c r="N199" s="14">
        <v>80</v>
      </c>
      <c r="O199" s="14">
        <v>160</v>
      </c>
      <c r="P199" s="13" t="s">
        <v>574</v>
      </c>
      <c r="Q199" s="13" t="s">
        <v>472</v>
      </c>
      <c r="R199" s="13" t="s">
        <v>573</v>
      </c>
      <c r="S199" s="13" t="s">
        <v>555</v>
      </c>
      <c r="T199" s="13" t="s">
        <v>95</v>
      </c>
      <c r="U199" s="13" t="s">
        <v>31</v>
      </c>
      <c r="V199" s="13">
        <v>4</v>
      </c>
    </row>
    <row r="200" spans="1:22">
      <c r="A200" s="3">
        <v>198</v>
      </c>
      <c r="B200" s="4">
        <v>190307</v>
      </c>
      <c r="C200" s="4" t="s">
        <v>575</v>
      </c>
      <c r="D200" s="5">
        <v>121.487566</v>
      </c>
      <c r="E200" s="5">
        <v>31.194999</v>
      </c>
      <c r="F200" s="6">
        <v>121.486287</v>
      </c>
      <c r="G200" s="6">
        <v>31.198306</v>
      </c>
      <c r="H200" s="7">
        <v>121.4888</v>
      </c>
      <c r="I200" s="7">
        <v>31.191851</v>
      </c>
      <c r="J200" s="14">
        <v>0.8</v>
      </c>
      <c r="K200" s="14">
        <v>1074</v>
      </c>
      <c r="L200" s="15">
        <f t="shared" si="8"/>
        <v>1</v>
      </c>
      <c r="M200" s="15">
        <f t="shared" si="9"/>
        <v>1</v>
      </c>
      <c r="N200" s="14">
        <v>80</v>
      </c>
      <c r="O200" s="14">
        <v>160</v>
      </c>
      <c r="P200" s="13" t="s">
        <v>576</v>
      </c>
      <c r="Q200" s="13" t="s">
        <v>565</v>
      </c>
      <c r="R200" s="13" t="s">
        <v>575</v>
      </c>
      <c r="S200" s="13" t="s">
        <v>555</v>
      </c>
      <c r="T200" s="13" t="s">
        <v>505</v>
      </c>
      <c r="U200" s="13" t="s">
        <v>31</v>
      </c>
      <c r="V200" s="13">
        <v>4</v>
      </c>
    </row>
    <row r="201" spans="1:22">
      <c r="A201" s="3">
        <v>199</v>
      </c>
      <c r="B201" s="4">
        <v>190307</v>
      </c>
      <c r="C201" s="4" t="s">
        <v>577</v>
      </c>
      <c r="D201" s="5">
        <v>121.468190097272</v>
      </c>
      <c r="E201" s="5">
        <v>31.2858083482068</v>
      </c>
      <c r="F201" s="6">
        <v>121.46823</v>
      </c>
      <c r="G201" s="6">
        <v>31.286089</v>
      </c>
      <c r="H201" s="7">
        <v>121.468155</v>
      </c>
      <c r="I201" s="7">
        <v>31.285756</v>
      </c>
      <c r="J201" s="14">
        <v>0.8</v>
      </c>
      <c r="K201" s="14">
        <v>1343</v>
      </c>
      <c r="L201" s="15">
        <f t="shared" si="8"/>
        <v>1</v>
      </c>
      <c r="M201" s="15">
        <f t="shared" si="9"/>
        <v>1</v>
      </c>
      <c r="N201" s="14">
        <v>60</v>
      </c>
      <c r="O201" s="14">
        <v>140</v>
      </c>
      <c r="P201" s="13" t="s">
        <v>578</v>
      </c>
      <c r="Q201" s="13" t="s">
        <v>579</v>
      </c>
      <c r="R201" s="13" t="s">
        <v>577</v>
      </c>
      <c r="S201" s="13" t="s">
        <v>580</v>
      </c>
      <c r="T201" s="13" t="s">
        <v>26</v>
      </c>
      <c r="U201" s="13" t="s">
        <v>64</v>
      </c>
      <c r="V201" s="13">
        <v>4</v>
      </c>
    </row>
    <row r="202" spans="1:22">
      <c r="A202" s="3">
        <v>200</v>
      </c>
      <c r="B202" s="4">
        <v>190310</v>
      </c>
      <c r="C202" s="4" t="s">
        <v>581</v>
      </c>
      <c r="D202" s="5">
        <v>121.476901864683</v>
      </c>
      <c r="E202" s="5">
        <v>31.2532846739798</v>
      </c>
      <c r="F202" s="6">
        <v>121.477028</v>
      </c>
      <c r="G202" s="6">
        <v>31.252943</v>
      </c>
      <c r="H202" s="7">
        <v>121.476724</v>
      </c>
      <c r="I202" s="7">
        <v>31.253899</v>
      </c>
      <c r="J202" s="14">
        <v>0.8</v>
      </c>
      <c r="K202" s="14">
        <v>1644</v>
      </c>
      <c r="L202" s="15">
        <f t="shared" si="8"/>
        <v>1</v>
      </c>
      <c r="M202" s="15">
        <f t="shared" si="9"/>
        <v>1</v>
      </c>
      <c r="N202" s="14">
        <v>50</v>
      </c>
      <c r="O202" s="14">
        <v>120</v>
      </c>
      <c r="P202" s="13" t="s">
        <v>582</v>
      </c>
      <c r="Q202" s="13" t="s">
        <v>472</v>
      </c>
      <c r="R202" s="13" t="s">
        <v>581</v>
      </c>
      <c r="S202" s="13" t="s">
        <v>583</v>
      </c>
      <c r="T202" s="13" t="s">
        <v>70</v>
      </c>
      <c r="U202" s="13" t="s">
        <v>27</v>
      </c>
      <c r="V202" s="13">
        <v>2</v>
      </c>
    </row>
    <row r="203" spans="1:22">
      <c r="A203" s="3">
        <v>201</v>
      </c>
      <c r="B203" s="4">
        <v>190307</v>
      </c>
      <c r="C203" s="4" t="s">
        <v>584</v>
      </c>
      <c r="D203" s="5">
        <v>121.478782735509</v>
      </c>
      <c r="E203" s="5">
        <v>31.246116366388</v>
      </c>
      <c r="F203" s="6">
        <v>121.478609</v>
      </c>
      <c r="G203" s="6">
        <v>31.246402</v>
      </c>
      <c r="H203" s="7">
        <v>121.478955</v>
      </c>
      <c r="I203" s="7">
        <v>31.245895</v>
      </c>
      <c r="J203" s="14">
        <v>0.8</v>
      </c>
      <c r="K203" s="14">
        <v>1868</v>
      </c>
      <c r="L203" s="15">
        <f t="shared" si="8"/>
        <v>1</v>
      </c>
      <c r="M203" s="15">
        <f t="shared" si="9"/>
        <v>1</v>
      </c>
      <c r="N203" s="14">
        <v>30</v>
      </c>
      <c r="O203" s="14">
        <v>120</v>
      </c>
      <c r="P203" s="13" t="s">
        <v>585</v>
      </c>
      <c r="Q203" s="13" t="s">
        <v>472</v>
      </c>
      <c r="R203" s="13" t="s">
        <v>584</v>
      </c>
      <c r="S203" s="13" t="s">
        <v>584</v>
      </c>
      <c r="T203" s="13" t="s">
        <v>26</v>
      </c>
      <c r="U203" s="13" t="s">
        <v>37</v>
      </c>
      <c r="V203" s="13">
        <v>2</v>
      </c>
    </row>
    <row r="204" spans="1:22">
      <c r="A204" s="3">
        <v>202</v>
      </c>
      <c r="B204" s="4">
        <v>190307</v>
      </c>
      <c r="C204" s="4" t="s">
        <v>586</v>
      </c>
      <c r="D204" s="5">
        <v>121.468261386334</v>
      </c>
      <c r="E204" s="5">
        <v>31.2908535587487</v>
      </c>
      <c r="F204" s="6">
        <v>121.468163</v>
      </c>
      <c r="G204" s="6">
        <v>31.290791</v>
      </c>
      <c r="H204" s="7">
        <v>121.468373</v>
      </c>
      <c r="I204" s="7">
        <v>31.290858</v>
      </c>
      <c r="J204" s="14">
        <v>0.8</v>
      </c>
      <c r="K204" s="14">
        <v>1187</v>
      </c>
      <c r="L204" s="15">
        <f t="shared" si="8"/>
        <v>1</v>
      </c>
      <c r="M204" s="15">
        <f t="shared" si="9"/>
        <v>1</v>
      </c>
      <c r="N204" s="14">
        <v>50</v>
      </c>
      <c r="O204" s="14">
        <v>120</v>
      </c>
      <c r="P204" s="13" t="s">
        <v>587</v>
      </c>
      <c r="Q204" s="13" t="s">
        <v>579</v>
      </c>
      <c r="R204" s="13" t="s">
        <v>586</v>
      </c>
      <c r="S204" s="13" t="s">
        <v>588</v>
      </c>
      <c r="T204" s="13" t="s">
        <v>26</v>
      </c>
      <c r="U204" s="13" t="s">
        <v>27</v>
      </c>
      <c r="V204" s="13">
        <v>2</v>
      </c>
    </row>
    <row r="205" spans="1:22">
      <c r="A205" s="3">
        <v>203</v>
      </c>
      <c r="B205" s="4">
        <v>190307</v>
      </c>
      <c r="C205" s="4" t="s">
        <v>589</v>
      </c>
      <c r="D205" s="5">
        <v>121.471926812828</v>
      </c>
      <c r="E205" s="5">
        <v>31.2802733977201</v>
      </c>
      <c r="F205" s="6">
        <v>121.472143</v>
      </c>
      <c r="G205" s="6">
        <v>31.280942</v>
      </c>
      <c r="H205" s="7">
        <v>121.472134</v>
      </c>
      <c r="I205" s="7">
        <v>31.280801</v>
      </c>
      <c r="J205" s="14">
        <v>0.8</v>
      </c>
      <c r="K205" s="14">
        <v>1469</v>
      </c>
      <c r="L205" s="15">
        <f t="shared" si="8"/>
        <v>1</v>
      </c>
      <c r="M205" s="15">
        <f t="shared" si="9"/>
        <v>1</v>
      </c>
      <c r="N205" s="14">
        <v>30</v>
      </c>
      <c r="O205" s="14">
        <v>120</v>
      </c>
      <c r="P205" s="13" t="s">
        <v>590</v>
      </c>
      <c r="Q205" s="13" t="s">
        <v>579</v>
      </c>
      <c r="R205" s="13" t="s">
        <v>591</v>
      </c>
      <c r="S205" s="13" t="s">
        <v>591</v>
      </c>
      <c r="T205" s="13" t="s">
        <v>26</v>
      </c>
      <c r="U205" s="13" t="s">
        <v>37</v>
      </c>
      <c r="V205" s="13">
        <v>2</v>
      </c>
    </row>
    <row r="206" spans="1:22">
      <c r="A206" s="3">
        <v>204</v>
      </c>
      <c r="B206" s="4">
        <v>190308</v>
      </c>
      <c r="C206" s="4" t="s">
        <v>592</v>
      </c>
      <c r="D206" s="5">
        <v>121.479873853145</v>
      </c>
      <c r="E206" s="5">
        <v>31.2511779974603</v>
      </c>
      <c r="F206" s="6">
        <v>121.480956</v>
      </c>
      <c r="G206" s="6">
        <v>31.251531</v>
      </c>
      <c r="H206" s="7">
        <v>121.48177</v>
      </c>
      <c r="I206" s="7">
        <v>31.251736</v>
      </c>
      <c r="J206" s="14">
        <v>0.8</v>
      </c>
      <c r="K206" s="14">
        <v>1632</v>
      </c>
      <c r="L206" s="15">
        <f t="shared" si="8"/>
        <v>1</v>
      </c>
      <c r="M206" s="15">
        <f t="shared" si="9"/>
        <v>1</v>
      </c>
      <c r="N206" s="14">
        <v>80</v>
      </c>
      <c r="O206" s="14">
        <v>160</v>
      </c>
      <c r="P206" s="13" t="s">
        <v>593</v>
      </c>
      <c r="Q206" s="13" t="s">
        <v>472</v>
      </c>
      <c r="R206" s="13" t="s">
        <v>594</v>
      </c>
      <c r="S206" s="13" t="s">
        <v>181</v>
      </c>
      <c r="T206" s="13" t="s">
        <v>70</v>
      </c>
      <c r="U206" s="13" t="s">
        <v>31</v>
      </c>
      <c r="V206" s="13">
        <v>4</v>
      </c>
    </row>
    <row r="207" spans="1:22">
      <c r="A207" s="3">
        <v>205</v>
      </c>
      <c r="B207" s="4">
        <v>190307</v>
      </c>
      <c r="C207" s="4" t="s">
        <v>595</v>
      </c>
      <c r="D207" s="5">
        <v>121.467383484262</v>
      </c>
      <c r="E207" s="5">
        <v>31.3064281074472</v>
      </c>
      <c r="F207" s="6">
        <v>121.467338</v>
      </c>
      <c r="G207" s="6">
        <v>31.306597</v>
      </c>
      <c r="H207" s="7">
        <v>121.46738</v>
      </c>
      <c r="I207" s="7">
        <v>31.306391</v>
      </c>
      <c r="J207" s="14">
        <v>0.8</v>
      </c>
      <c r="K207" s="14">
        <v>1078</v>
      </c>
      <c r="L207" s="15">
        <f t="shared" si="8"/>
        <v>1</v>
      </c>
      <c r="M207" s="15">
        <f t="shared" si="9"/>
        <v>1</v>
      </c>
      <c r="N207" s="14">
        <v>30</v>
      </c>
      <c r="O207" s="14">
        <v>120</v>
      </c>
      <c r="P207" s="13" t="s">
        <v>596</v>
      </c>
      <c r="Q207" s="13" t="s">
        <v>472</v>
      </c>
      <c r="R207" s="13" t="s">
        <v>597</v>
      </c>
      <c r="S207" s="13" t="s">
        <v>597</v>
      </c>
      <c r="T207" s="13" t="s">
        <v>26</v>
      </c>
      <c r="U207" s="13" t="s">
        <v>37</v>
      </c>
      <c r="V207" s="13">
        <v>2</v>
      </c>
    </row>
    <row r="208" spans="1:22">
      <c r="A208" s="3">
        <v>206</v>
      </c>
      <c r="B208" s="4">
        <v>190307</v>
      </c>
      <c r="C208" s="4" t="s">
        <v>598</v>
      </c>
      <c r="D208" s="5">
        <v>121.48310053169</v>
      </c>
      <c r="E208" s="5">
        <v>31.247315513125</v>
      </c>
      <c r="F208" s="6">
        <v>121.483106</v>
      </c>
      <c r="G208" s="6">
        <v>31.247574</v>
      </c>
      <c r="H208" s="7">
        <v>121.483067</v>
      </c>
      <c r="I208" s="7">
        <v>31.247088</v>
      </c>
      <c r="J208" s="14">
        <v>0.8</v>
      </c>
      <c r="K208" s="14">
        <v>1855</v>
      </c>
      <c r="L208" s="15">
        <f t="shared" si="8"/>
        <v>1</v>
      </c>
      <c r="M208" s="15">
        <f t="shared" si="9"/>
        <v>1</v>
      </c>
      <c r="N208" s="14">
        <v>30</v>
      </c>
      <c r="O208" s="14">
        <v>120</v>
      </c>
      <c r="P208" s="13" t="s">
        <v>599</v>
      </c>
      <c r="Q208" s="13" t="s">
        <v>565</v>
      </c>
      <c r="R208" s="13" t="s">
        <v>598</v>
      </c>
      <c r="S208" s="13" t="s">
        <v>600</v>
      </c>
      <c r="T208" s="13" t="s">
        <v>601</v>
      </c>
      <c r="U208" s="13" t="s">
        <v>37</v>
      </c>
      <c r="V208" s="13">
        <v>2</v>
      </c>
    </row>
    <row r="209" spans="1:22">
      <c r="A209" s="3">
        <v>207</v>
      </c>
      <c r="B209" s="4">
        <v>190307</v>
      </c>
      <c r="C209" s="4" t="s">
        <v>602</v>
      </c>
      <c r="D209" s="5">
        <v>121.503656463338</v>
      </c>
      <c r="E209" s="5">
        <v>31.171616891901</v>
      </c>
      <c r="F209" s="6">
        <v>121.503662</v>
      </c>
      <c r="G209" s="6">
        <v>31.171855</v>
      </c>
      <c r="H209" s="7">
        <v>121.503692</v>
      </c>
      <c r="I209" s="7">
        <v>31.171477</v>
      </c>
      <c r="J209" s="14">
        <v>0.8</v>
      </c>
      <c r="K209" s="14">
        <v>1231</v>
      </c>
      <c r="L209" s="15">
        <f t="shared" si="8"/>
        <v>1</v>
      </c>
      <c r="M209" s="15">
        <f t="shared" si="9"/>
        <v>1</v>
      </c>
      <c r="N209" s="14">
        <v>60</v>
      </c>
      <c r="O209" s="14">
        <v>140</v>
      </c>
      <c r="P209" s="13" t="s">
        <v>603</v>
      </c>
      <c r="Q209" s="13" t="s">
        <v>487</v>
      </c>
      <c r="R209" s="13" t="s">
        <v>604</v>
      </c>
      <c r="S209" s="13" t="s">
        <v>604</v>
      </c>
      <c r="T209" s="13" t="s">
        <v>26</v>
      </c>
      <c r="U209" s="13" t="s">
        <v>64</v>
      </c>
      <c r="V209" s="13">
        <v>4</v>
      </c>
    </row>
    <row r="210" spans="1:22">
      <c r="A210" s="3">
        <v>208</v>
      </c>
      <c r="B210" s="4">
        <v>190307</v>
      </c>
      <c r="C210" s="4" t="s">
        <v>274</v>
      </c>
      <c r="D210" s="5">
        <v>121.476734935778</v>
      </c>
      <c r="E210" s="5">
        <v>31.2778504246048</v>
      </c>
      <c r="F210" s="6">
        <v>121.476808</v>
      </c>
      <c r="G210" s="6">
        <v>31.277816</v>
      </c>
      <c r="H210" s="7">
        <v>121.477029</v>
      </c>
      <c r="I210" s="7">
        <v>31.277968</v>
      </c>
      <c r="J210" s="14">
        <v>0.8</v>
      </c>
      <c r="K210" s="14">
        <v>1559</v>
      </c>
      <c r="L210" s="15">
        <f t="shared" si="8"/>
        <v>1</v>
      </c>
      <c r="M210" s="15">
        <f t="shared" si="9"/>
        <v>1</v>
      </c>
      <c r="N210" s="14">
        <v>50</v>
      </c>
      <c r="O210" s="14">
        <v>120</v>
      </c>
      <c r="P210" s="13" t="s">
        <v>605</v>
      </c>
      <c r="Q210" s="13" t="s">
        <v>579</v>
      </c>
      <c r="R210" s="13" t="s">
        <v>606</v>
      </c>
      <c r="S210" s="13" t="s">
        <v>606</v>
      </c>
      <c r="T210" s="13" t="s">
        <v>26</v>
      </c>
      <c r="U210" s="13" t="s">
        <v>27</v>
      </c>
      <c r="V210" s="13">
        <v>2</v>
      </c>
    </row>
    <row r="211" spans="1:22">
      <c r="A211" s="3">
        <v>209</v>
      </c>
      <c r="B211" s="4">
        <v>190307</v>
      </c>
      <c r="C211" s="4" t="s">
        <v>607</v>
      </c>
      <c r="D211" s="5">
        <v>121.48544066191</v>
      </c>
      <c r="E211" s="5">
        <v>31.2461218353391</v>
      </c>
      <c r="F211" s="6">
        <v>121.485461</v>
      </c>
      <c r="G211" s="6">
        <v>31.246357</v>
      </c>
      <c r="H211" s="7">
        <v>121.48545</v>
      </c>
      <c r="I211" s="7">
        <v>31.245835</v>
      </c>
      <c r="J211" s="14">
        <v>0.8</v>
      </c>
      <c r="K211" s="14">
        <v>1913</v>
      </c>
      <c r="L211" s="15">
        <f t="shared" si="8"/>
        <v>1</v>
      </c>
      <c r="M211" s="15">
        <f t="shared" si="9"/>
        <v>1</v>
      </c>
      <c r="N211" s="14">
        <v>30</v>
      </c>
      <c r="O211" s="14">
        <v>120</v>
      </c>
      <c r="P211" s="13" t="s">
        <v>608</v>
      </c>
      <c r="Q211" s="13" t="s">
        <v>565</v>
      </c>
      <c r="R211" s="13" t="s">
        <v>607</v>
      </c>
      <c r="S211" s="13" t="s">
        <v>607</v>
      </c>
      <c r="T211" s="13" t="s">
        <v>26</v>
      </c>
      <c r="U211" s="13" t="s">
        <v>37</v>
      </c>
      <c r="V211" s="13">
        <v>2</v>
      </c>
    </row>
    <row r="212" s="1" customFormat="1" spans="1:22">
      <c r="A212" s="3">
        <v>210</v>
      </c>
      <c r="B212" s="4">
        <v>190307</v>
      </c>
      <c r="C212" s="4" t="s">
        <v>609</v>
      </c>
      <c r="D212" s="5">
        <v>121.50257</v>
      </c>
      <c r="E212" s="5">
        <v>31.167594</v>
      </c>
      <c r="F212" s="6">
        <v>121.502782</v>
      </c>
      <c r="G212" s="6">
        <v>31.167722</v>
      </c>
      <c r="H212" s="7">
        <v>121.502369</v>
      </c>
      <c r="I212" s="7">
        <v>31.167476</v>
      </c>
      <c r="J212" s="14">
        <v>0.8</v>
      </c>
      <c r="K212" s="14">
        <v>1287</v>
      </c>
      <c r="L212" s="15">
        <f t="shared" si="8"/>
        <v>1</v>
      </c>
      <c r="M212" s="15">
        <f t="shared" si="9"/>
        <v>1</v>
      </c>
      <c r="N212" s="14">
        <v>30</v>
      </c>
      <c r="O212" s="14">
        <v>120</v>
      </c>
      <c r="P212" s="16" t="s">
        <v>610</v>
      </c>
      <c r="Q212" s="16" t="s">
        <v>487</v>
      </c>
      <c r="R212" s="16" t="s">
        <v>611</v>
      </c>
      <c r="S212" s="16" t="s">
        <v>611</v>
      </c>
      <c r="T212" s="16" t="s">
        <v>26</v>
      </c>
      <c r="U212" s="16" t="s">
        <v>37</v>
      </c>
      <c r="V212" s="16">
        <v>2</v>
      </c>
    </row>
    <row r="213" spans="1:22">
      <c r="A213" s="3">
        <v>211</v>
      </c>
      <c r="B213" s="4">
        <v>190307</v>
      </c>
      <c r="C213" s="4" t="s">
        <v>612</v>
      </c>
      <c r="D213" s="5">
        <v>121.470397911121</v>
      </c>
      <c r="E213" s="5">
        <v>31.3060342870375</v>
      </c>
      <c r="F213" s="6">
        <v>121.470569</v>
      </c>
      <c r="G213" s="6">
        <v>31.306014</v>
      </c>
      <c r="H213" s="7">
        <v>121.47075</v>
      </c>
      <c r="I213" s="7">
        <v>31.305993</v>
      </c>
      <c r="J213" s="14">
        <v>0.8</v>
      </c>
      <c r="K213" s="14">
        <v>1127</v>
      </c>
      <c r="L213" s="15">
        <f t="shared" si="8"/>
        <v>1</v>
      </c>
      <c r="M213" s="15">
        <f t="shared" si="9"/>
        <v>1</v>
      </c>
      <c r="N213" s="14">
        <v>50</v>
      </c>
      <c r="O213" s="14">
        <v>120</v>
      </c>
      <c r="P213" s="13" t="s">
        <v>613</v>
      </c>
      <c r="Q213" s="13" t="s">
        <v>472</v>
      </c>
      <c r="R213" s="13" t="s">
        <v>614</v>
      </c>
      <c r="S213" s="13" t="s">
        <v>614</v>
      </c>
      <c r="T213" s="13" t="s">
        <v>26</v>
      </c>
      <c r="U213" s="13" t="s">
        <v>27</v>
      </c>
      <c r="V213" s="13">
        <v>2</v>
      </c>
    </row>
    <row r="214" spans="1:22">
      <c r="A214" s="3">
        <v>212</v>
      </c>
      <c r="B214" s="4">
        <v>190307</v>
      </c>
      <c r="C214" s="4" t="s">
        <v>615</v>
      </c>
      <c r="D214" s="5">
        <v>121.469948758338</v>
      </c>
      <c r="E214" s="5">
        <v>31.3122514477228</v>
      </c>
      <c r="F214" s="6">
        <v>121.469998</v>
      </c>
      <c r="G214" s="6">
        <v>31.312223</v>
      </c>
      <c r="H214" s="7">
        <v>121.470018</v>
      </c>
      <c r="I214" s="7">
        <v>31.312051</v>
      </c>
      <c r="J214" s="14">
        <v>0.8</v>
      </c>
      <c r="K214" s="14">
        <v>1063</v>
      </c>
      <c r="L214" s="15">
        <f t="shared" si="8"/>
        <v>1</v>
      </c>
      <c r="M214" s="15">
        <f t="shared" si="9"/>
        <v>1</v>
      </c>
      <c r="N214" s="14">
        <v>60</v>
      </c>
      <c r="O214" s="14">
        <v>140</v>
      </c>
      <c r="P214" s="13" t="s">
        <v>616</v>
      </c>
      <c r="Q214" s="13" t="s">
        <v>472</v>
      </c>
      <c r="R214" s="13" t="s">
        <v>617</v>
      </c>
      <c r="S214" s="13" t="s">
        <v>617</v>
      </c>
      <c r="T214" s="13" t="s">
        <v>26</v>
      </c>
      <c r="U214" s="13" t="s">
        <v>64</v>
      </c>
      <c r="V214" s="13">
        <v>4</v>
      </c>
    </row>
    <row r="215" s="1" customFormat="1" spans="1:22">
      <c r="A215" s="3">
        <v>213</v>
      </c>
      <c r="B215" s="4">
        <v>190307</v>
      </c>
      <c r="C215" s="4" t="s">
        <v>618</v>
      </c>
      <c r="D215" s="5">
        <v>121.470673</v>
      </c>
      <c r="E215" s="5">
        <v>31.306</v>
      </c>
      <c r="F215" s="6">
        <v>121.470895</v>
      </c>
      <c r="G215" s="6">
        <v>31.305978</v>
      </c>
      <c r="H215" s="7">
        <v>121.470483</v>
      </c>
      <c r="I215" s="7">
        <v>31.306019</v>
      </c>
      <c r="J215" s="14">
        <v>0.8</v>
      </c>
      <c r="K215" s="14">
        <v>1135</v>
      </c>
      <c r="L215" s="15">
        <f t="shared" si="8"/>
        <v>1</v>
      </c>
      <c r="M215" s="15">
        <f t="shared" si="9"/>
        <v>1</v>
      </c>
      <c r="N215" s="14">
        <v>50</v>
      </c>
      <c r="O215" s="14">
        <v>120</v>
      </c>
      <c r="P215" s="16" t="s">
        <v>619</v>
      </c>
      <c r="Q215" s="16" t="s">
        <v>579</v>
      </c>
      <c r="R215" s="16" t="s">
        <v>618</v>
      </c>
      <c r="S215" s="16" t="s">
        <v>614</v>
      </c>
      <c r="T215" s="16" t="s">
        <v>26</v>
      </c>
      <c r="U215" s="16" t="s">
        <v>27</v>
      </c>
      <c r="V215" s="16">
        <v>2</v>
      </c>
    </row>
    <row r="216" spans="1:22">
      <c r="A216" s="3">
        <v>214</v>
      </c>
      <c r="B216" s="4">
        <v>190307</v>
      </c>
      <c r="C216" s="4" t="s">
        <v>620</v>
      </c>
      <c r="D216" s="5">
        <v>121.469982771537</v>
      </c>
      <c r="E216" s="5">
        <v>31.3169109074977</v>
      </c>
      <c r="F216" s="6">
        <v>121.470009</v>
      </c>
      <c r="G216" s="6">
        <v>31.316913</v>
      </c>
      <c r="H216" s="7">
        <v>121.470217</v>
      </c>
      <c r="I216" s="7">
        <v>31.316912</v>
      </c>
      <c r="J216" s="14">
        <v>0.8</v>
      </c>
      <c r="K216" s="14">
        <v>1141</v>
      </c>
      <c r="L216" s="15">
        <f t="shared" si="8"/>
        <v>1</v>
      </c>
      <c r="M216" s="15">
        <f t="shared" si="9"/>
        <v>1</v>
      </c>
      <c r="N216" s="14">
        <v>30</v>
      </c>
      <c r="O216" s="14">
        <v>120</v>
      </c>
      <c r="P216" s="13" t="s">
        <v>621</v>
      </c>
      <c r="Q216" s="13" t="s">
        <v>472</v>
      </c>
      <c r="R216" s="13" t="s">
        <v>620</v>
      </c>
      <c r="S216" s="13" t="s">
        <v>622</v>
      </c>
      <c r="T216" s="13" t="s">
        <v>26</v>
      </c>
      <c r="U216" s="13" t="s">
        <v>37</v>
      </c>
      <c r="V216" s="13">
        <v>2</v>
      </c>
    </row>
    <row r="217" spans="1:22">
      <c r="A217" s="3">
        <v>215</v>
      </c>
      <c r="B217" s="4">
        <v>190307</v>
      </c>
      <c r="C217" s="4" t="s">
        <v>623</v>
      </c>
      <c r="D217" s="5">
        <v>121.482477295903</v>
      </c>
      <c r="E217" s="5">
        <v>31.2713588118559</v>
      </c>
      <c r="F217" s="6">
        <v>121.482835</v>
      </c>
      <c r="G217" s="6">
        <v>31.271542</v>
      </c>
      <c r="H217" s="7">
        <v>121.482953</v>
      </c>
      <c r="I217" s="7">
        <v>31.271635</v>
      </c>
      <c r="J217" s="14">
        <v>0.8</v>
      </c>
      <c r="K217" s="14">
        <v>1759</v>
      </c>
      <c r="L217" s="15">
        <f t="shared" si="8"/>
        <v>1</v>
      </c>
      <c r="M217" s="15">
        <f t="shared" si="9"/>
        <v>1</v>
      </c>
      <c r="N217" s="14">
        <v>30</v>
      </c>
      <c r="O217" s="14">
        <v>120</v>
      </c>
      <c r="P217" s="13" t="s">
        <v>624</v>
      </c>
      <c r="Q217" s="13" t="s">
        <v>579</v>
      </c>
      <c r="R217" s="13" t="s">
        <v>623</v>
      </c>
      <c r="S217" s="13" t="s">
        <v>625</v>
      </c>
      <c r="T217" s="13" t="s">
        <v>26</v>
      </c>
      <c r="U217" s="13" t="s">
        <v>37</v>
      </c>
      <c r="V217" s="13">
        <v>2</v>
      </c>
    </row>
    <row r="218" spans="1:22">
      <c r="A218" s="3">
        <v>216</v>
      </c>
      <c r="B218" s="4">
        <v>190307</v>
      </c>
      <c r="C218" s="4" t="s">
        <v>626</v>
      </c>
      <c r="D218" s="5">
        <v>121.489581722687</v>
      </c>
      <c r="E218" s="5">
        <v>31.2477035817624</v>
      </c>
      <c r="F218" s="6">
        <v>121.489351</v>
      </c>
      <c r="G218" s="6">
        <v>31.248127</v>
      </c>
      <c r="H218" s="7">
        <v>121.489739</v>
      </c>
      <c r="I218" s="7">
        <v>31.24743</v>
      </c>
      <c r="J218" s="14">
        <v>0.8</v>
      </c>
      <c r="K218" s="14">
        <v>1907</v>
      </c>
      <c r="L218" s="15">
        <f t="shared" si="8"/>
        <v>1</v>
      </c>
      <c r="M218" s="15">
        <f t="shared" si="9"/>
        <v>1</v>
      </c>
      <c r="N218" s="14">
        <v>30</v>
      </c>
      <c r="O218" s="14">
        <v>120</v>
      </c>
      <c r="P218" s="13" t="s">
        <v>627</v>
      </c>
      <c r="Q218" s="13" t="s">
        <v>565</v>
      </c>
      <c r="R218" s="13" t="s">
        <v>626</v>
      </c>
      <c r="S218" s="13" t="s">
        <v>626</v>
      </c>
      <c r="T218" s="13" t="s">
        <v>26</v>
      </c>
      <c r="U218" s="13" t="s">
        <v>37</v>
      </c>
      <c r="V218" s="13">
        <v>2</v>
      </c>
    </row>
    <row r="219" spans="1:22">
      <c r="A219" s="3">
        <v>217</v>
      </c>
      <c r="B219" s="4">
        <v>190307</v>
      </c>
      <c r="C219" s="4" t="s">
        <v>628</v>
      </c>
      <c r="D219" s="5">
        <v>121.470585</v>
      </c>
      <c r="E219" s="5">
        <v>31.319603</v>
      </c>
      <c r="F219" s="6">
        <v>121.470883</v>
      </c>
      <c r="G219" s="6">
        <v>31.319604</v>
      </c>
      <c r="H219" s="7">
        <v>121.470378</v>
      </c>
      <c r="I219" s="7">
        <v>31.31962</v>
      </c>
      <c r="J219" s="14">
        <v>0.8</v>
      </c>
      <c r="K219" s="14">
        <v>1235</v>
      </c>
      <c r="L219" s="15">
        <f t="shared" si="8"/>
        <v>1</v>
      </c>
      <c r="M219" s="15">
        <f t="shared" si="9"/>
        <v>1</v>
      </c>
      <c r="N219" s="14">
        <v>30</v>
      </c>
      <c r="O219" s="14">
        <v>120</v>
      </c>
      <c r="P219" s="13" t="s">
        <v>629</v>
      </c>
      <c r="Q219" s="13" t="s">
        <v>472</v>
      </c>
      <c r="R219" s="13" t="s">
        <v>630</v>
      </c>
      <c r="S219" s="13" t="s">
        <v>630</v>
      </c>
      <c r="T219" s="13" t="s">
        <v>26</v>
      </c>
      <c r="U219" s="13" t="s">
        <v>37</v>
      </c>
      <c r="V219" s="13">
        <v>2</v>
      </c>
    </row>
    <row r="220" spans="1:22">
      <c r="A220" s="3">
        <v>218</v>
      </c>
      <c r="B220" s="4">
        <v>190306</v>
      </c>
      <c r="C220" s="4" t="s">
        <v>631</v>
      </c>
      <c r="D220" s="5">
        <v>121.474210111757</v>
      </c>
      <c r="E220" s="5">
        <v>31.3122878426033</v>
      </c>
      <c r="F220" s="6">
        <v>121.474128</v>
      </c>
      <c r="G220" s="6">
        <v>31.311988</v>
      </c>
      <c r="H220" s="7">
        <v>121.474166</v>
      </c>
      <c r="I220" s="7">
        <v>31.312752</v>
      </c>
      <c r="J220" s="14">
        <v>0.8</v>
      </c>
      <c r="K220" s="14">
        <v>1058</v>
      </c>
      <c r="L220" s="15">
        <f t="shared" si="8"/>
        <v>1</v>
      </c>
      <c r="M220" s="15">
        <f t="shared" si="9"/>
        <v>1</v>
      </c>
      <c r="N220" s="14">
        <v>80</v>
      </c>
      <c r="O220" s="14">
        <v>160</v>
      </c>
      <c r="P220" s="13" t="s">
        <v>632</v>
      </c>
      <c r="Q220" s="13" t="s">
        <v>579</v>
      </c>
      <c r="R220" s="13" t="s">
        <v>631</v>
      </c>
      <c r="S220" s="13" t="s">
        <v>631</v>
      </c>
      <c r="T220" s="13" t="s">
        <v>95</v>
      </c>
      <c r="U220" s="13" t="s">
        <v>31</v>
      </c>
      <c r="V220" s="13">
        <v>4</v>
      </c>
    </row>
    <row r="221" spans="1:22">
      <c r="A221" s="3">
        <v>219</v>
      </c>
      <c r="B221" s="4">
        <v>190310</v>
      </c>
      <c r="C221" s="4" t="s">
        <v>633</v>
      </c>
      <c r="D221" s="5">
        <v>121.498753</v>
      </c>
      <c r="E221" s="5">
        <v>31.197844</v>
      </c>
      <c r="F221" s="6">
        <v>121.497294</v>
      </c>
      <c r="G221" s="6">
        <v>31.201698</v>
      </c>
      <c r="H221" s="7">
        <v>121.502185</v>
      </c>
      <c r="I221" s="7">
        <v>31.195229</v>
      </c>
      <c r="J221" s="14">
        <v>0.8</v>
      </c>
      <c r="K221" s="14">
        <v>1070</v>
      </c>
      <c r="L221" s="15">
        <f t="shared" si="8"/>
        <v>1</v>
      </c>
      <c r="M221" s="15">
        <f t="shared" si="9"/>
        <v>1</v>
      </c>
      <c r="N221" s="14">
        <v>60</v>
      </c>
      <c r="O221" s="14">
        <v>140</v>
      </c>
      <c r="P221" s="13" t="s">
        <v>634</v>
      </c>
      <c r="Q221" s="13" t="s">
        <v>487</v>
      </c>
      <c r="R221" s="13" t="s">
        <v>633</v>
      </c>
      <c r="S221" s="13" t="s">
        <v>635</v>
      </c>
      <c r="T221" s="13" t="s">
        <v>70</v>
      </c>
      <c r="U221" s="13" t="s">
        <v>64</v>
      </c>
      <c r="V221" s="13">
        <v>4</v>
      </c>
    </row>
    <row r="222" spans="1:22">
      <c r="A222" s="3">
        <v>220</v>
      </c>
      <c r="B222" s="4">
        <v>190310</v>
      </c>
      <c r="C222" s="4" t="s">
        <v>636</v>
      </c>
      <c r="D222" s="5">
        <v>121.496809199389</v>
      </c>
      <c r="E222" s="5">
        <v>31.2273948905358</v>
      </c>
      <c r="F222" s="6">
        <v>121.496927</v>
      </c>
      <c r="G222" s="6">
        <v>31.227489</v>
      </c>
      <c r="H222" s="7">
        <v>121.498548</v>
      </c>
      <c r="I222" s="7">
        <v>31.227591</v>
      </c>
      <c r="J222" s="14">
        <v>0.8</v>
      </c>
      <c r="K222" s="14">
        <v>1743</v>
      </c>
      <c r="L222" s="15">
        <f t="shared" si="8"/>
        <v>1</v>
      </c>
      <c r="M222" s="15">
        <f t="shared" si="9"/>
        <v>1</v>
      </c>
      <c r="N222" s="14">
        <v>30</v>
      </c>
      <c r="O222" s="14">
        <v>120</v>
      </c>
      <c r="P222" s="13" t="s">
        <v>637</v>
      </c>
      <c r="Q222" s="13" t="s">
        <v>565</v>
      </c>
      <c r="R222" s="13" t="s">
        <v>636</v>
      </c>
      <c r="S222" s="13" t="s">
        <v>638</v>
      </c>
      <c r="T222" s="13" t="s">
        <v>70</v>
      </c>
      <c r="U222" s="13" t="s">
        <v>37</v>
      </c>
      <c r="V222" s="13">
        <v>2</v>
      </c>
    </row>
    <row r="223" spans="1:22">
      <c r="A223" s="3">
        <v>221</v>
      </c>
      <c r="B223" s="4">
        <v>190307</v>
      </c>
      <c r="C223" s="4" t="s">
        <v>639</v>
      </c>
      <c r="D223" s="5">
        <v>121.477623</v>
      </c>
      <c r="E223" s="5">
        <v>31.306805</v>
      </c>
      <c r="F223" s="6">
        <v>121.477627</v>
      </c>
      <c r="G223" s="6">
        <v>31.306705</v>
      </c>
      <c r="H223" s="7">
        <v>121.47763</v>
      </c>
      <c r="I223" s="7">
        <v>31.306953</v>
      </c>
      <c r="J223" s="14">
        <v>0.8</v>
      </c>
      <c r="K223" s="14">
        <v>1213</v>
      </c>
      <c r="L223" s="15">
        <f t="shared" si="8"/>
        <v>1</v>
      </c>
      <c r="M223" s="15">
        <f t="shared" si="9"/>
        <v>1</v>
      </c>
      <c r="N223" s="14">
        <v>30</v>
      </c>
      <c r="O223" s="14">
        <v>120</v>
      </c>
      <c r="P223" s="13" t="s">
        <v>640</v>
      </c>
      <c r="Q223" s="13" t="s">
        <v>579</v>
      </c>
      <c r="R223" s="13" t="s">
        <v>641</v>
      </c>
      <c r="S223" s="13" t="s">
        <v>641</v>
      </c>
      <c r="T223" s="13" t="s">
        <v>26</v>
      </c>
      <c r="U223" s="13" t="s">
        <v>37</v>
      </c>
      <c r="V223" s="13">
        <v>2</v>
      </c>
    </row>
    <row r="224" spans="1:22">
      <c r="A224" s="3">
        <v>222</v>
      </c>
      <c r="B224" s="4">
        <v>190307</v>
      </c>
      <c r="C224" s="4" t="s">
        <v>642</v>
      </c>
      <c r="D224" s="5">
        <v>121.489626406083</v>
      </c>
      <c r="E224" s="5">
        <v>31.2646459603717</v>
      </c>
      <c r="F224" s="6">
        <v>121.489677</v>
      </c>
      <c r="G224" s="6">
        <v>31.264794</v>
      </c>
      <c r="H224" s="7">
        <v>121.489614</v>
      </c>
      <c r="I224" s="7">
        <v>31.264602</v>
      </c>
      <c r="J224" s="14">
        <v>0.8</v>
      </c>
      <c r="K224" s="14">
        <v>1747</v>
      </c>
      <c r="L224" s="15">
        <f t="shared" si="8"/>
        <v>1</v>
      </c>
      <c r="M224" s="15">
        <f t="shared" si="9"/>
        <v>1</v>
      </c>
      <c r="N224" s="14">
        <v>50</v>
      </c>
      <c r="O224" s="14">
        <v>120</v>
      </c>
      <c r="P224" s="13" t="s">
        <v>643</v>
      </c>
      <c r="Q224" s="13" t="s">
        <v>579</v>
      </c>
      <c r="R224" s="13" t="s">
        <v>644</v>
      </c>
      <c r="S224" s="13" t="s">
        <v>644</v>
      </c>
      <c r="T224" s="13" t="s">
        <v>26</v>
      </c>
      <c r="U224" s="13" t="s">
        <v>27</v>
      </c>
      <c r="V224" s="13">
        <v>2</v>
      </c>
    </row>
    <row r="225" spans="1:22">
      <c r="A225" s="3">
        <v>223</v>
      </c>
      <c r="B225" s="4">
        <v>190310</v>
      </c>
      <c r="C225" s="4" t="s">
        <v>645</v>
      </c>
      <c r="D225" s="5">
        <v>121.485695265623</v>
      </c>
      <c r="E225" s="5">
        <v>31.2813371140642</v>
      </c>
      <c r="F225" s="6">
        <v>121.485157</v>
      </c>
      <c r="G225" s="6">
        <v>31.281534</v>
      </c>
      <c r="H225" s="7">
        <v>121.486421</v>
      </c>
      <c r="I225" s="7">
        <v>31.281098</v>
      </c>
      <c r="J225" s="14">
        <v>0.8</v>
      </c>
      <c r="K225" s="14">
        <v>1536</v>
      </c>
      <c r="L225" s="15">
        <f t="shared" si="8"/>
        <v>1</v>
      </c>
      <c r="M225" s="15">
        <f t="shared" si="9"/>
        <v>1</v>
      </c>
      <c r="N225" s="14">
        <v>60</v>
      </c>
      <c r="O225" s="14">
        <v>140</v>
      </c>
      <c r="P225" s="13" t="s">
        <v>646</v>
      </c>
      <c r="Q225" s="13" t="s">
        <v>579</v>
      </c>
      <c r="R225" s="13" t="s">
        <v>645</v>
      </c>
      <c r="S225" s="13" t="s">
        <v>645</v>
      </c>
      <c r="T225" s="13" t="s">
        <v>70</v>
      </c>
      <c r="U225" s="13" t="s">
        <v>64</v>
      </c>
      <c r="V225" s="13">
        <v>4</v>
      </c>
    </row>
    <row r="226" spans="1:22">
      <c r="A226" s="3">
        <v>224</v>
      </c>
      <c r="B226" s="4">
        <v>190307</v>
      </c>
      <c r="C226" s="4" t="s">
        <v>647</v>
      </c>
      <c r="D226" s="5">
        <v>121.494360406421</v>
      </c>
      <c r="E226" s="5">
        <v>31.2499353952794</v>
      </c>
      <c r="F226" s="6">
        <v>121.494292</v>
      </c>
      <c r="G226" s="6">
        <v>31.249495</v>
      </c>
      <c r="H226" s="7">
        <v>121.49442</v>
      </c>
      <c r="I226" s="7">
        <v>31.250246</v>
      </c>
      <c r="J226" s="14">
        <v>0.8</v>
      </c>
      <c r="K226" s="14">
        <v>1775</v>
      </c>
      <c r="L226" s="15">
        <f t="shared" si="8"/>
        <v>1</v>
      </c>
      <c r="M226" s="15">
        <f t="shared" si="9"/>
        <v>1</v>
      </c>
      <c r="N226" s="14">
        <v>30</v>
      </c>
      <c r="O226" s="14">
        <v>120</v>
      </c>
      <c r="P226" s="13" t="s">
        <v>648</v>
      </c>
      <c r="Q226" s="13" t="s">
        <v>579</v>
      </c>
      <c r="R226" s="13" t="s">
        <v>649</v>
      </c>
      <c r="S226" s="13" t="s">
        <v>649</v>
      </c>
      <c r="T226" s="13" t="s">
        <v>26</v>
      </c>
      <c r="U226" s="13" t="s">
        <v>37</v>
      </c>
      <c r="V226" s="13">
        <v>2</v>
      </c>
    </row>
    <row r="227" spans="1:22">
      <c r="A227" s="3">
        <v>225</v>
      </c>
      <c r="B227" s="4">
        <v>190306</v>
      </c>
      <c r="C227" s="4" t="s">
        <v>650</v>
      </c>
      <c r="D227" s="5">
        <v>121.478238090427</v>
      </c>
      <c r="E227" s="5">
        <v>31.312610595052</v>
      </c>
      <c r="F227" s="6">
        <v>121.477479</v>
      </c>
      <c r="G227" s="6">
        <v>31.312516</v>
      </c>
      <c r="H227" s="7">
        <v>121.478839</v>
      </c>
      <c r="I227" s="7">
        <v>31.312609</v>
      </c>
      <c r="J227" s="14">
        <v>0.8</v>
      </c>
      <c r="K227" s="14">
        <v>1159</v>
      </c>
      <c r="L227" s="15">
        <f t="shared" si="8"/>
        <v>1</v>
      </c>
      <c r="M227" s="15">
        <f t="shared" si="9"/>
        <v>1</v>
      </c>
      <c r="N227" s="14">
        <v>80</v>
      </c>
      <c r="O227" s="14">
        <v>160</v>
      </c>
      <c r="P227" s="13" t="s">
        <v>651</v>
      </c>
      <c r="Q227" s="13" t="s">
        <v>579</v>
      </c>
      <c r="R227" s="13" t="s">
        <v>617</v>
      </c>
      <c r="S227" s="13" t="s">
        <v>617</v>
      </c>
      <c r="T227" s="13" t="s">
        <v>95</v>
      </c>
      <c r="U227" s="13" t="s">
        <v>31</v>
      </c>
      <c r="V227" s="13">
        <v>4</v>
      </c>
    </row>
    <row r="228" spans="1:22">
      <c r="A228" s="3">
        <v>226</v>
      </c>
      <c r="B228" s="4">
        <v>190307</v>
      </c>
      <c r="C228" s="4" t="s">
        <v>652</v>
      </c>
      <c r="D228" s="5">
        <v>121.508869466343</v>
      </c>
      <c r="E228" s="5">
        <v>31.1947764258435</v>
      </c>
      <c r="F228" s="6">
        <v>121.508644</v>
      </c>
      <c r="G228" s="6">
        <v>31.194805</v>
      </c>
      <c r="H228" s="7">
        <v>121.509142</v>
      </c>
      <c r="I228" s="7">
        <v>31.194691</v>
      </c>
      <c r="J228" s="14">
        <v>0.8</v>
      </c>
      <c r="K228" s="14">
        <v>894</v>
      </c>
      <c r="L228" s="15">
        <f t="shared" si="8"/>
        <v>1</v>
      </c>
      <c r="M228" s="15">
        <f t="shared" si="9"/>
        <v>1</v>
      </c>
      <c r="N228" s="14">
        <v>30</v>
      </c>
      <c r="O228" s="14">
        <v>120</v>
      </c>
      <c r="P228" s="13" t="s">
        <v>653</v>
      </c>
      <c r="Q228" s="13" t="s">
        <v>487</v>
      </c>
      <c r="R228" s="13" t="s">
        <v>652</v>
      </c>
      <c r="S228" s="13" t="s">
        <v>654</v>
      </c>
      <c r="T228" s="13" t="s">
        <v>26</v>
      </c>
      <c r="U228" s="13" t="s">
        <v>37</v>
      </c>
      <c r="V228" s="13">
        <v>2</v>
      </c>
    </row>
    <row r="229" spans="1:22">
      <c r="A229" s="3">
        <v>227</v>
      </c>
      <c r="B229" s="4">
        <v>190307</v>
      </c>
      <c r="C229" s="4" t="s">
        <v>655</v>
      </c>
      <c r="D229" s="5">
        <v>121.466359352299</v>
      </c>
      <c r="E229" s="5">
        <v>31.3605569060968</v>
      </c>
      <c r="F229" s="6">
        <v>121.466233</v>
      </c>
      <c r="G229" s="6">
        <v>31.360931</v>
      </c>
      <c r="H229" s="7">
        <v>121.466547</v>
      </c>
      <c r="I229" s="7">
        <v>31.360148</v>
      </c>
      <c r="J229" s="14">
        <v>0.8</v>
      </c>
      <c r="K229" s="14">
        <v>384</v>
      </c>
      <c r="L229" s="15">
        <f t="shared" si="8"/>
        <v>1</v>
      </c>
      <c r="M229" s="15">
        <f t="shared" si="9"/>
        <v>1</v>
      </c>
      <c r="N229" s="14">
        <v>60</v>
      </c>
      <c r="O229" s="14">
        <v>140</v>
      </c>
      <c r="P229" s="13" t="s">
        <v>656</v>
      </c>
      <c r="Q229" s="13" t="s">
        <v>165</v>
      </c>
      <c r="R229" s="13" t="s">
        <v>655</v>
      </c>
      <c r="S229" s="13" t="s">
        <v>657</v>
      </c>
      <c r="T229" s="13" t="s">
        <v>26</v>
      </c>
      <c r="U229" s="13" t="s">
        <v>64</v>
      </c>
      <c r="V229" s="13">
        <v>4</v>
      </c>
    </row>
    <row r="230" spans="1:22">
      <c r="A230" s="3">
        <v>228</v>
      </c>
      <c r="B230" s="4">
        <v>190307</v>
      </c>
      <c r="C230" s="4" t="s">
        <v>658</v>
      </c>
      <c r="D230" s="5">
        <v>121.491602239224</v>
      </c>
      <c r="E230" s="5">
        <v>31.2629535715192</v>
      </c>
      <c r="F230" s="6">
        <v>121.491642</v>
      </c>
      <c r="G230" s="6">
        <v>31.263026</v>
      </c>
      <c r="H230" s="7">
        <v>121.491725</v>
      </c>
      <c r="I230" s="7">
        <v>31.263141</v>
      </c>
      <c r="J230" s="14">
        <v>0.8</v>
      </c>
      <c r="K230" s="14">
        <v>1721</v>
      </c>
      <c r="L230" s="15">
        <f t="shared" si="8"/>
        <v>1</v>
      </c>
      <c r="M230" s="15">
        <f t="shared" si="9"/>
        <v>1</v>
      </c>
      <c r="N230" s="14">
        <v>30</v>
      </c>
      <c r="O230" s="14">
        <v>120</v>
      </c>
      <c r="P230" s="13" t="s">
        <v>659</v>
      </c>
      <c r="Q230" s="13" t="s">
        <v>579</v>
      </c>
      <c r="R230" s="13" t="s">
        <v>660</v>
      </c>
      <c r="S230" s="13" t="s">
        <v>660</v>
      </c>
      <c r="T230" s="13" t="s">
        <v>26</v>
      </c>
      <c r="U230" s="13" t="s">
        <v>37</v>
      </c>
      <c r="V230" s="13">
        <v>2</v>
      </c>
    </row>
    <row r="231" spans="1:22">
      <c r="A231" s="3">
        <v>229</v>
      </c>
      <c r="B231" s="4">
        <v>190307</v>
      </c>
      <c r="C231" s="4" t="s">
        <v>661</v>
      </c>
      <c r="D231" s="5">
        <v>121.496656437136</v>
      </c>
      <c r="E231" s="5">
        <v>31.2485836766092</v>
      </c>
      <c r="F231" s="6">
        <v>121.496937</v>
      </c>
      <c r="G231" s="6">
        <v>31.2495</v>
      </c>
      <c r="H231" s="7">
        <v>121.496673</v>
      </c>
      <c r="I231" s="7">
        <v>31.248551</v>
      </c>
      <c r="J231" s="14">
        <v>0.8</v>
      </c>
      <c r="K231" s="14">
        <v>1767</v>
      </c>
      <c r="L231" s="15">
        <f t="shared" si="8"/>
        <v>1</v>
      </c>
      <c r="M231" s="15">
        <f t="shared" si="9"/>
        <v>1</v>
      </c>
      <c r="N231" s="14">
        <v>60</v>
      </c>
      <c r="O231" s="14">
        <v>140</v>
      </c>
      <c r="P231" s="13" t="s">
        <v>662</v>
      </c>
      <c r="Q231" s="13" t="s">
        <v>565</v>
      </c>
      <c r="R231" s="13" t="s">
        <v>661</v>
      </c>
      <c r="S231" s="13" t="s">
        <v>663</v>
      </c>
      <c r="T231" s="13" t="s">
        <v>601</v>
      </c>
      <c r="U231" s="13" t="s">
        <v>64</v>
      </c>
      <c r="V231" s="13">
        <v>4</v>
      </c>
    </row>
    <row r="232" spans="1:22">
      <c r="A232" s="3">
        <v>230</v>
      </c>
      <c r="B232" s="4">
        <v>190307</v>
      </c>
      <c r="C232" s="4" t="s">
        <v>664</v>
      </c>
      <c r="D232" s="5">
        <v>121.49393294057</v>
      </c>
      <c r="E232" s="5">
        <v>31.2607368411671</v>
      </c>
      <c r="F232" s="6">
        <v>121.49399</v>
      </c>
      <c r="G232" s="6">
        <v>31.260984</v>
      </c>
      <c r="H232" s="7">
        <v>121.494359</v>
      </c>
      <c r="I232" s="7">
        <v>31.261779</v>
      </c>
      <c r="J232" s="14">
        <v>0.8</v>
      </c>
      <c r="K232" s="14">
        <v>1697</v>
      </c>
      <c r="L232" s="15">
        <f t="shared" si="8"/>
        <v>1</v>
      </c>
      <c r="M232" s="15">
        <f t="shared" si="9"/>
        <v>1</v>
      </c>
      <c r="N232" s="14">
        <v>60</v>
      </c>
      <c r="O232" s="14">
        <v>140</v>
      </c>
      <c r="P232" s="13" t="s">
        <v>665</v>
      </c>
      <c r="Q232" s="13" t="s">
        <v>579</v>
      </c>
      <c r="R232" s="13" t="s">
        <v>664</v>
      </c>
      <c r="S232" s="13" t="s">
        <v>666</v>
      </c>
      <c r="T232" s="13" t="s">
        <v>26</v>
      </c>
      <c r="U232" s="13" t="s">
        <v>64</v>
      </c>
      <c r="V232" s="13">
        <v>4</v>
      </c>
    </row>
    <row r="233" spans="1:22">
      <c r="A233" s="3">
        <v>231</v>
      </c>
      <c r="B233" s="4">
        <v>190307</v>
      </c>
      <c r="C233" s="4" t="s">
        <v>667</v>
      </c>
      <c r="D233" s="5">
        <v>121.482890028472</v>
      </c>
      <c r="E233" s="5">
        <v>31.3059392705344</v>
      </c>
      <c r="F233" s="6">
        <v>121.482875</v>
      </c>
      <c r="G233" s="6">
        <v>31.3064</v>
      </c>
      <c r="H233" s="7">
        <v>121.482884</v>
      </c>
      <c r="I233" s="7">
        <v>31.306197</v>
      </c>
      <c r="J233" s="14">
        <v>0.8</v>
      </c>
      <c r="K233" s="14">
        <v>1341</v>
      </c>
      <c r="L233" s="15">
        <f t="shared" si="8"/>
        <v>1</v>
      </c>
      <c r="M233" s="15">
        <f t="shared" si="9"/>
        <v>1</v>
      </c>
      <c r="N233" s="14">
        <v>50</v>
      </c>
      <c r="O233" s="14">
        <v>120</v>
      </c>
      <c r="P233" s="13" t="s">
        <v>668</v>
      </c>
      <c r="Q233" s="13" t="s">
        <v>579</v>
      </c>
      <c r="R233" s="13" t="s">
        <v>669</v>
      </c>
      <c r="S233" s="13" t="s">
        <v>669</v>
      </c>
      <c r="T233" s="13" t="s">
        <v>26</v>
      </c>
      <c r="U233" s="13" t="s">
        <v>27</v>
      </c>
      <c r="V233" s="13">
        <v>2</v>
      </c>
    </row>
    <row r="234" spans="1:22">
      <c r="A234" s="3">
        <v>232</v>
      </c>
      <c r="B234" s="4">
        <v>190310</v>
      </c>
      <c r="C234" s="4" t="s">
        <v>663</v>
      </c>
      <c r="D234" s="5">
        <v>121.496792758444</v>
      </c>
      <c r="E234" s="5">
        <v>31.2528085875842</v>
      </c>
      <c r="F234" s="6">
        <v>121.496688</v>
      </c>
      <c r="G234" s="6">
        <v>31.253007</v>
      </c>
      <c r="H234" s="7">
        <v>121.498167</v>
      </c>
      <c r="I234" s="7">
        <v>31.239574</v>
      </c>
      <c r="J234" s="14">
        <v>0.8</v>
      </c>
      <c r="K234" s="14">
        <v>1717</v>
      </c>
      <c r="L234" s="15">
        <f t="shared" si="8"/>
        <v>1</v>
      </c>
      <c r="M234" s="15">
        <f t="shared" si="9"/>
        <v>1</v>
      </c>
      <c r="N234" s="14">
        <v>60</v>
      </c>
      <c r="O234" s="14">
        <v>140</v>
      </c>
      <c r="P234" s="13" t="s">
        <v>670</v>
      </c>
      <c r="Q234" s="13" t="s">
        <v>579</v>
      </c>
      <c r="R234" s="13" t="s">
        <v>663</v>
      </c>
      <c r="S234" s="13" t="s">
        <v>663</v>
      </c>
      <c r="T234" s="13" t="s">
        <v>70</v>
      </c>
      <c r="U234" s="13" t="s">
        <v>64</v>
      </c>
      <c r="V234" s="13">
        <v>4</v>
      </c>
    </row>
    <row r="235" spans="1:22">
      <c r="A235" s="3">
        <v>233</v>
      </c>
      <c r="B235" s="4">
        <v>190307</v>
      </c>
      <c r="C235" s="4" t="s">
        <v>671</v>
      </c>
      <c r="D235" s="5">
        <v>121.483042061496</v>
      </c>
      <c r="E235" s="5">
        <v>31.3065696373704</v>
      </c>
      <c r="F235" s="6">
        <v>121.483181</v>
      </c>
      <c r="G235" s="6">
        <v>31.306561</v>
      </c>
      <c r="H235" s="7">
        <v>121.483025</v>
      </c>
      <c r="I235" s="7">
        <v>31.306561</v>
      </c>
      <c r="J235" s="14">
        <v>0.8</v>
      </c>
      <c r="K235" s="14">
        <v>1338</v>
      </c>
      <c r="L235" s="15">
        <f t="shared" si="8"/>
        <v>1</v>
      </c>
      <c r="M235" s="15">
        <f t="shared" si="9"/>
        <v>1</v>
      </c>
      <c r="N235" s="14">
        <v>30</v>
      </c>
      <c r="O235" s="14">
        <v>120</v>
      </c>
      <c r="P235" s="13" t="s">
        <v>672</v>
      </c>
      <c r="Q235" s="13" t="s">
        <v>579</v>
      </c>
      <c r="R235" s="13" t="s">
        <v>671</v>
      </c>
      <c r="S235" s="13" t="s">
        <v>673</v>
      </c>
      <c r="T235" s="13" t="s">
        <v>26</v>
      </c>
      <c r="U235" s="13" t="s">
        <v>37</v>
      </c>
      <c r="V235" s="13">
        <v>2</v>
      </c>
    </row>
    <row r="236" spans="1:22">
      <c r="A236" s="3">
        <v>234</v>
      </c>
      <c r="B236" s="4">
        <v>190307</v>
      </c>
      <c r="C236" s="4" t="s">
        <v>674</v>
      </c>
      <c r="D236" s="5">
        <v>121.489069768368</v>
      </c>
      <c r="E236" s="5">
        <v>31.2851894589851</v>
      </c>
      <c r="F236" s="6">
        <v>121.489122</v>
      </c>
      <c r="G236" s="6">
        <v>31.285405</v>
      </c>
      <c r="H236" s="7">
        <v>121.488911</v>
      </c>
      <c r="I236" s="7">
        <v>31.285048</v>
      </c>
      <c r="J236" s="14">
        <v>0.8</v>
      </c>
      <c r="K236" s="14">
        <v>1418</v>
      </c>
      <c r="L236" s="15">
        <f t="shared" si="8"/>
        <v>1</v>
      </c>
      <c r="M236" s="15">
        <f t="shared" si="9"/>
        <v>1</v>
      </c>
      <c r="N236" s="14">
        <v>60</v>
      </c>
      <c r="O236" s="14">
        <v>140</v>
      </c>
      <c r="P236" s="13" t="s">
        <v>675</v>
      </c>
      <c r="Q236" s="13" t="s">
        <v>579</v>
      </c>
      <c r="R236" s="13" t="s">
        <v>676</v>
      </c>
      <c r="S236" s="13" t="s">
        <v>676</v>
      </c>
      <c r="T236" s="13" t="s">
        <v>26</v>
      </c>
      <c r="U236" s="13" t="s">
        <v>64</v>
      </c>
      <c r="V236" s="13">
        <v>4</v>
      </c>
    </row>
    <row r="237" spans="1:22">
      <c r="A237" s="3">
        <v>235</v>
      </c>
      <c r="B237" s="4">
        <v>190307</v>
      </c>
      <c r="C237" s="4" t="s">
        <v>677</v>
      </c>
      <c r="D237" s="5">
        <v>121.485469561245</v>
      </c>
      <c r="E237" s="5">
        <v>31.3003656185474</v>
      </c>
      <c r="F237" s="6">
        <v>121.486307</v>
      </c>
      <c r="G237" s="6">
        <v>31.300446</v>
      </c>
      <c r="H237" s="7">
        <v>121.486591</v>
      </c>
      <c r="I237" s="7">
        <v>31.300491</v>
      </c>
      <c r="J237" s="14">
        <v>0.8</v>
      </c>
      <c r="K237" s="14">
        <v>1346</v>
      </c>
      <c r="L237" s="15">
        <f t="shared" si="8"/>
        <v>1</v>
      </c>
      <c r="M237" s="15">
        <f t="shared" si="9"/>
        <v>1</v>
      </c>
      <c r="N237" s="14">
        <v>30</v>
      </c>
      <c r="O237" s="14">
        <v>120</v>
      </c>
      <c r="P237" s="13" t="s">
        <v>678</v>
      </c>
      <c r="Q237" s="13" t="s">
        <v>579</v>
      </c>
      <c r="R237" s="13" t="s">
        <v>677</v>
      </c>
      <c r="S237" s="13" t="s">
        <v>679</v>
      </c>
      <c r="T237" s="13" t="s">
        <v>26</v>
      </c>
      <c r="U237" s="13" t="s">
        <v>37</v>
      </c>
      <c r="V237" s="13">
        <v>2</v>
      </c>
    </row>
    <row r="238" spans="1:22">
      <c r="A238" s="3">
        <v>236</v>
      </c>
      <c r="B238" s="4">
        <v>190307</v>
      </c>
      <c r="C238" s="4" t="s">
        <v>680</v>
      </c>
      <c r="D238" s="5">
        <v>121.484836575686</v>
      </c>
      <c r="E238" s="5">
        <v>31.3030006569538</v>
      </c>
      <c r="F238" s="6">
        <v>121.485844</v>
      </c>
      <c r="G238" s="6">
        <v>31.302993</v>
      </c>
      <c r="H238" s="7">
        <v>121.48608</v>
      </c>
      <c r="I238" s="7">
        <v>31.302983</v>
      </c>
      <c r="J238" s="14">
        <v>0.8</v>
      </c>
      <c r="K238" s="14">
        <v>1367</v>
      </c>
      <c r="L238" s="15">
        <f t="shared" si="8"/>
        <v>1</v>
      </c>
      <c r="M238" s="15">
        <f t="shared" si="9"/>
        <v>1</v>
      </c>
      <c r="N238" s="14">
        <v>30</v>
      </c>
      <c r="O238" s="14">
        <v>120</v>
      </c>
      <c r="P238" s="13" t="s">
        <v>681</v>
      </c>
      <c r="Q238" s="13" t="s">
        <v>579</v>
      </c>
      <c r="R238" s="13" t="s">
        <v>680</v>
      </c>
      <c r="S238" s="13" t="s">
        <v>682</v>
      </c>
      <c r="T238" s="13" t="s">
        <v>26</v>
      </c>
      <c r="U238" s="13" t="s">
        <v>37</v>
      </c>
      <c r="V238" s="13">
        <v>2</v>
      </c>
    </row>
    <row r="239" spans="1:22">
      <c r="A239" s="3">
        <v>237</v>
      </c>
      <c r="B239" s="4">
        <v>190307</v>
      </c>
      <c r="C239" s="4" t="s">
        <v>683</v>
      </c>
      <c r="D239" s="5">
        <v>121.483202123877</v>
      </c>
      <c r="E239" s="5">
        <v>31.3103314193515</v>
      </c>
      <c r="F239" s="6">
        <v>121.483381</v>
      </c>
      <c r="G239" s="6">
        <v>31.310343</v>
      </c>
      <c r="H239" s="7">
        <v>121.483575</v>
      </c>
      <c r="I239" s="7">
        <v>31.310357</v>
      </c>
      <c r="J239" s="14">
        <v>0.8</v>
      </c>
      <c r="K239" s="14">
        <v>1290</v>
      </c>
      <c r="L239" s="15">
        <f t="shared" si="8"/>
        <v>1</v>
      </c>
      <c r="M239" s="15">
        <f t="shared" si="9"/>
        <v>1</v>
      </c>
      <c r="N239" s="14">
        <v>30</v>
      </c>
      <c r="O239" s="14">
        <v>120</v>
      </c>
      <c r="P239" s="13" t="s">
        <v>684</v>
      </c>
      <c r="Q239" s="13" t="s">
        <v>579</v>
      </c>
      <c r="R239" s="13" t="s">
        <v>683</v>
      </c>
      <c r="S239" s="13" t="s">
        <v>685</v>
      </c>
      <c r="T239" s="13" t="s">
        <v>26</v>
      </c>
      <c r="U239" s="13" t="s">
        <v>37</v>
      </c>
      <c r="V239" s="13">
        <v>2</v>
      </c>
    </row>
    <row r="240" spans="1:22">
      <c r="A240" s="3">
        <v>238</v>
      </c>
      <c r="B240" s="4">
        <v>190307</v>
      </c>
      <c r="C240" s="4" t="s">
        <v>686</v>
      </c>
      <c r="D240" s="5">
        <v>121.496754847416</v>
      </c>
      <c r="E240" s="5">
        <v>31.2614778475407</v>
      </c>
      <c r="F240" s="6">
        <v>121.496655</v>
      </c>
      <c r="G240" s="6">
        <v>31.26146</v>
      </c>
      <c r="H240" s="7">
        <v>121.496769</v>
      </c>
      <c r="I240" s="7">
        <v>31.261551</v>
      </c>
      <c r="J240" s="14">
        <v>0.8</v>
      </c>
      <c r="K240" s="14">
        <v>1713</v>
      </c>
      <c r="L240" s="15">
        <f t="shared" si="8"/>
        <v>1</v>
      </c>
      <c r="M240" s="15">
        <f t="shared" si="9"/>
        <v>1</v>
      </c>
      <c r="N240" s="14">
        <v>30</v>
      </c>
      <c r="O240" s="14">
        <v>120</v>
      </c>
      <c r="P240" s="13" t="s">
        <v>687</v>
      </c>
      <c r="Q240" s="13" t="s">
        <v>579</v>
      </c>
      <c r="R240" s="13" t="s">
        <v>688</v>
      </c>
      <c r="S240" s="13" t="s">
        <v>688</v>
      </c>
      <c r="T240" s="13" t="s">
        <v>26</v>
      </c>
      <c r="U240" s="13" t="s">
        <v>37</v>
      </c>
      <c r="V240" s="13">
        <v>2</v>
      </c>
    </row>
    <row r="241" spans="1:22">
      <c r="A241" s="3">
        <v>239</v>
      </c>
      <c r="B241" s="4">
        <v>190307</v>
      </c>
      <c r="C241" s="4" t="s">
        <v>689</v>
      </c>
      <c r="D241" s="5">
        <v>121.497992857527</v>
      </c>
      <c r="E241" s="5">
        <v>31.257053030337</v>
      </c>
      <c r="F241" s="6">
        <v>121.497909</v>
      </c>
      <c r="G241" s="6">
        <v>31.256997</v>
      </c>
      <c r="H241" s="7">
        <v>121.4981</v>
      </c>
      <c r="I241" s="7">
        <v>31.257098</v>
      </c>
      <c r="J241" s="14">
        <v>0.8</v>
      </c>
      <c r="K241" s="14">
        <v>1595</v>
      </c>
      <c r="L241" s="15">
        <f t="shared" si="8"/>
        <v>1</v>
      </c>
      <c r="M241" s="15">
        <f t="shared" si="9"/>
        <v>1</v>
      </c>
      <c r="N241" s="14">
        <v>30</v>
      </c>
      <c r="O241" s="14">
        <v>120</v>
      </c>
      <c r="P241" s="13" t="s">
        <v>690</v>
      </c>
      <c r="Q241" s="13" t="s">
        <v>579</v>
      </c>
      <c r="R241" s="13" t="s">
        <v>689</v>
      </c>
      <c r="S241" s="13" t="s">
        <v>691</v>
      </c>
      <c r="T241" s="13" t="s">
        <v>26</v>
      </c>
      <c r="U241" s="13" t="s">
        <v>37</v>
      </c>
      <c r="V241" s="13">
        <v>2</v>
      </c>
    </row>
    <row r="242" spans="1:22">
      <c r="A242" s="3">
        <v>240</v>
      </c>
      <c r="B242" s="4">
        <v>190307</v>
      </c>
      <c r="C242" s="4" t="s">
        <v>692</v>
      </c>
      <c r="D242" s="5">
        <v>121.498912863458</v>
      </c>
      <c r="E242" s="5">
        <v>31.2557660876679</v>
      </c>
      <c r="F242" s="6">
        <v>121.498596</v>
      </c>
      <c r="G242" s="6">
        <v>31.255574</v>
      </c>
      <c r="H242" s="7">
        <v>121.498891</v>
      </c>
      <c r="I242" s="7">
        <v>31.255768</v>
      </c>
      <c r="J242" s="14">
        <v>0.8</v>
      </c>
      <c r="K242" s="14">
        <v>1588</v>
      </c>
      <c r="L242" s="15">
        <f t="shared" si="8"/>
        <v>1</v>
      </c>
      <c r="M242" s="15">
        <f t="shared" si="9"/>
        <v>1</v>
      </c>
      <c r="N242" s="14">
        <v>30</v>
      </c>
      <c r="O242" s="14">
        <v>120</v>
      </c>
      <c r="P242" s="13" t="s">
        <v>693</v>
      </c>
      <c r="Q242" s="13" t="s">
        <v>579</v>
      </c>
      <c r="R242" s="13" t="s">
        <v>692</v>
      </c>
      <c r="S242" s="13" t="s">
        <v>694</v>
      </c>
      <c r="T242" s="13" t="s">
        <v>26</v>
      </c>
      <c r="U242" s="13" t="s">
        <v>37</v>
      </c>
      <c r="V242" s="13">
        <v>2</v>
      </c>
    </row>
    <row r="243" spans="1:22">
      <c r="A243" s="3">
        <v>241</v>
      </c>
      <c r="B243" s="4">
        <v>190310</v>
      </c>
      <c r="C243" s="4" t="s">
        <v>695</v>
      </c>
      <c r="D243" s="5">
        <v>121.502662188062</v>
      </c>
      <c r="E243" s="5">
        <v>31.2414730216747</v>
      </c>
      <c r="F243" s="6">
        <v>121.497883</v>
      </c>
      <c r="G243" s="6">
        <v>31.238173</v>
      </c>
      <c r="H243" s="7">
        <v>121.506358</v>
      </c>
      <c r="I243" s="7">
        <v>31.243846</v>
      </c>
      <c r="J243" s="14">
        <v>0.8</v>
      </c>
      <c r="K243" s="14">
        <v>1672</v>
      </c>
      <c r="L243" s="15">
        <f t="shared" si="8"/>
        <v>1</v>
      </c>
      <c r="M243" s="15">
        <f t="shared" si="9"/>
        <v>1</v>
      </c>
      <c r="N243" s="14">
        <v>60</v>
      </c>
      <c r="O243" s="14">
        <v>140</v>
      </c>
      <c r="P243" s="13" t="s">
        <v>696</v>
      </c>
      <c r="Q243" s="13" t="s">
        <v>487</v>
      </c>
      <c r="R243" s="13" t="s">
        <v>697</v>
      </c>
      <c r="S243" s="13" t="s">
        <v>697</v>
      </c>
      <c r="T243" s="13" t="s">
        <v>70</v>
      </c>
      <c r="U243" s="13" t="s">
        <v>64</v>
      </c>
      <c r="V243" s="13">
        <v>4</v>
      </c>
    </row>
    <row r="244" spans="1:22">
      <c r="A244" s="3">
        <v>242</v>
      </c>
      <c r="B244" s="4">
        <v>190307</v>
      </c>
      <c r="C244" s="4" t="s">
        <v>698</v>
      </c>
      <c r="D244" s="5">
        <v>121.498594270242</v>
      </c>
      <c r="E244" s="5">
        <v>31.2590147200193</v>
      </c>
      <c r="F244" s="6">
        <v>121.498058</v>
      </c>
      <c r="G244" s="6">
        <v>31.258938</v>
      </c>
      <c r="H244" s="7">
        <v>121.498669</v>
      </c>
      <c r="I244" s="7">
        <v>31.259125</v>
      </c>
      <c r="J244" s="14">
        <v>0.8</v>
      </c>
      <c r="K244" s="14">
        <v>1628</v>
      </c>
      <c r="L244" s="15">
        <f t="shared" si="8"/>
        <v>1</v>
      </c>
      <c r="M244" s="15">
        <f t="shared" si="9"/>
        <v>1</v>
      </c>
      <c r="N244" s="14">
        <v>60</v>
      </c>
      <c r="O244" s="14">
        <v>140</v>
      </c>
      <c r="P244" s="13" t="s">
        <v>699</v>
      </c>
      <c r="Q244" s="13" t="s">
        <v>579</v>
      </c>
      <c r="R244" s="13" t="s">
        <v>700</v>
      </c>
      <c r="S244" s="13" t="s">
        <v>700</v>
      </c>
      <c r="T244" s="13" t="s">
        <v>26</v>
      </c>
      <c r="U244" s="13" t="s">
        <v>64</v>
      </c>
      <c r="V244" s="13">
        <v>4</v>
      </c>
    </row>
    <row r="245" spans="1:22">
      <c r="A245" s="3">
        <v>243</v>
      </c>
      <c r="B245" s="4">
        <v>190307</v>
      </c>
      <c r="C245" s="4" t="s">
        <v>701</v>
      </c>
      <c r="D245" s="5">
        <v>121.486739913208</v>
      </c>
      <c r="E245" s="5">
        <v>31.3055089764929</v>
      </c>
      <c r="F245" s="6">
        <v>121.486614</v>
      </c>
      <c r="G245" s="6">
        <v>31.305503</v>
      </c>
      <c r="H245" s="7">
        <v>121.486833</v>
      </c>
      <c r="I245" s="7">
        <v>31.305506</v>
      </c>
      <c r="J245" s="14">
        <v>0.8</v>
      </c>
      <c r="K245" s="14">
        <v>1368</v>
      </c>
      <c r="L245" s="15">
        <f t="shared" si="8"/>
        <v>1</v>
      </c>
      <c r="M245" s="15">
        <f t="shared" si="9"/>
        <v>1</v>
      </c>
      <c r="N245" s="14">
        <v>50</v>
      </c>
      <c r="O245" s="14">
        <v>120</v>
      </c>
      <c r="P245" s="13" t="s">
        <v>702</v>
      </c>
      <c r="Q245" s="13" t="s">
        <v>579</v>
      </c>
      <c r="R245" s="13" t="s">
        <v>701</v>
      </c>
      <c r="S245" s="13" t="s">
        <v>614</v>
      </c>
      <c r="T245" s="13" t="s">
        <v>26</v>
      </c>
      <c r="U245" s="13" t="s">
        <v>27</v>
      </c>
      <c r="V245" s="13">
        <v>2</v>
      </c>
    </row>
    <row r="246" spans="1:22">
      <c r="A246" s="3">
        <v>244</v>
      </c>
      <c r="B246" s="4">
        <v>190307</v>
      </c>
      <c r="C246" s="4" t="s">
        <v>703</v>
      </c>
      <c r="D246" s="5">
        <v>121.498309786734</v>
      </c>
      <c r="E246" s="5">
        <v>31.260993452454</v>
      </c>
      <c r="F246" s="6">
        <v>121.498115</v>
      </c>
      <c r="G246" s="6">
        <v>31.261012</v>
      </c>
      <c r="H246" s="7">
        <v>121.498334</v>
      </c>
      <c r="I246" s="7">
        <v>31.261</v>
      </c>
      <c r="J246" s="14">
        <v>0.8</v>
      </c>
      <c r="K246" s="14">
        <v>1676</v>
      </c>
      <c r="L246" s="15">
        <f t="shared" si="8"/>
        <v>1</v>
      </c>
      <c r="M246" s="15">
        <f t="shared" si="9"/>
        <v>1</v>
      </c>
      <c r="N246" s="14">
        <v>30</v>
      </c>
      <c r="O246" s="14">
        <v>120</v>
      </c>
      <c r="P246" s="13" t="s">
        <v>704</v>
      </c>
      <c r="Q246" s="13" t="s">
        <v>579</v>
      </c>
      <c r="R246" s="13" t="s">
        <v>703</v>
      </c>
      <c r="S246" s="13" t="s">
        <v>705</v>
      </c>
      <c r="T246" s="13" t="s">
        <v>26</v>
      </c>
      <c r="U246" s="13" t="s">
        <v>37</v>
      </c>
      <c r="V246" s="13">
        <v>2</v>
      </c>
    </row>
    <row r="247" spans="1:22">
      <c r="A247" s="3">
        <v>245</v>
      </c>
      <c r="B247" s="4">
        <v>190310</v>
      </c>
      <c r="C247" s="4" t="s">
        <v>706</v>
      </c>
      <c r="D247" s="5">
        <v>121.505311841342</v>
      </c>
      <c r="E247" s="5">
        <v>31.2354793278198</v>
      </c>
      <c r="F247" s="6">
        <v>121.501426</v>
      </c>
      <c r="G247" s="6">
        <v>31.235116</v>
      </c>
      <c r="H247" s="7">
        <v>121.514521</v>
      </c>
      <c r="I247" s="7">
        <v>31.236955</v>
      </c>
      <c r="J247" s="14">
        <v>0.8</v>
      </c>
      <c r="K247" s="14">
        <v>1572</v>
      </c>
      <c r="L247" s="15">
        <f t="shared" si="8"/>
        <v>1</v>
      </c>
      <c r="M247" s="15">
        <f t="shared" si="9"/>
        <v>1</v>
      </c>
      <c r="N247" s="14">
        <v>50</v>
      </c>
      <c r="O247" s="14">
        <v>120</v>
      </c>
      <c r="P247" s="13" t="s">
        <v>707</v>
      </c>
      <c r="Q247" s="13" t="s">
        <v>565</v>
      </c>
      <c r="R247" s="13" t="s">
        <v>706</v>
      </c>
      <c r="S247" s="13" t="s">
        <v>706</v>
      </c>
      <c r="T247" s="13" t="s">
        <v>70</v>
      </c>
      <c r="U247" s="13" t="s">
        <v>27</v>
      </c>
      <c r="V247" s="13">
        <v>2</v>
      </c>
    </row>
    <row r="248" spans="1:22">
      <c r="A248" s="3">
        <v>246</v>
      </c>
      <c r="B248" s="4">
        <v>190307</v>
      </c>
      <c r="C248" s="4" t="s">
        <v>708</v>
      </c>
      <c r="D248" s="5">
        <v>121.512115117564</v>
      </c>
      <c r="E248" s="5">
        <v>31.2110319857684</v>
      </c>
      <c r="F248" s="6">
        <v>121.507849</v>
      </c>
      <c r="G248" s="6">
        <v>31.212607</v>
      </c>
      <c r="H248" s="7">
        <v>121.516116</v>
      </c>
      <c r="I248" s="7">
        <v>31.209634</v>
      </c>
      <c r="J248" s="14">
        <v>0.8</v>
      </c>
      <c r="K248" s="14">
        <v>1253</v>
      </c>
      <c r="L248" s="15">
        <f t="shared" si="8"/>
        <v>1</v>
      </c>
      <c r="M248" s="15">
        <f t="shared" si="9"/>
        <v>1</v>
      </c>
      <c r="N248" s="14">
        <v>80</v>
      </c>
      <c r="O248" s="14">
        <v>160</v>
      </c>
      <c r="P248" s="13" t="s">
        <v>709</v>
      </c>
      <c r="Q248" s="13" t="s">
        <v>487</v>
      </c>
      <c r="R248" s="13" t="s">
        <v>708</v>
      </c>
      <c r="S248" s="13" t="s">
        <v>308</v>
      </c>
      <c r="T248" s="13" t="s">
        <v>304</v>
      </c>
      <c r="U248" s="13" t="s">
        <v>31</v>
      </c>
      <c r="V248" s="13">
        <v>4</v>
      </c>
    </row>
    <row r="249" spans="1:22">
      <c r="A249" s="3">
        <v>247</v>
      </c>
      <c r="B249" s="4">
        <v>190310</v>
      </c>
      <c r="C249" s="4" t="s">
        <v>710</v>
      </c>
      <c r="D249" s="5">
        <v>121.508242859192</v>
      </c>
      <c r="E249" s="5">
        <v>31.2272633311864</v>
      </c>
      <c r="F249" s="6">
        <v>121.506054</v>
      </c>
      <c r="G249" s="6">
        <v>31.226644</v>
      </c>
      <c r="H249" s="7">
        <v>121.521709</v>
      </c>
      <c r="I249" s="7">
        <v>31.232496</v>
      </c>
      <c r="J249" s="14">
        <v>0.8</v>
      </c>
      <c r="K249" s="14">
        <v>1322</v>
      </c>
      <c r="L249" s="15">
        <f t="shared" si="8"/>
        <v>1</v>
      </c>
      <c r="M249" s="15">
        <f t="shared" si="9"/>
        <v>1</v>
      </c>
      <c r="N249" s="14">
        <v>50</v>
      </c>
      <c r="O249" s="14">
        <v>120</v>
      </c>
      <c r="P249" s="13" t="s">
        <v>711</v>
      </c>
      <c r="Q249" s="13" t="s">
        <v>565</v>
      </c>
      <c r="R249" s="13" t="s">
        <v>712</v>
      </c>
      <c r="S249" s="13" t="s">
        <v>710</v>
      </c>
      <c r="T249" s="13" t="s">
        <v>70</v>
      </c>
      <c r="U249" s="13" t="s">
        <v>27</v>
      </c>
      <c r="V249" s="13">
        <v>2</v>
      </c>
    </row>
    <row r="250" spans="1:22">
      <c r="A250" s="3">
        <v>248</v>
      </c>
      <c r="B250" s="4">
        <v>190307</v>
      </c>
      <c r="C250" s="4" t="s">
        <v>713</v>
      </c>
      <c r="D250" s="5">
        <v>121.500003183602</v>
      </c>
      <c r="E250" s="5">
        <v>31.2647422156759</v>
      </c>
      <c r="F250" s="6">
        <v>121.499622</v>
      </c>
      <c r="G250" s="6">
        <v>31.264945</v>
      </c>
      <c r="H250" s="7">
        <v>121.49982</v>
      </c>
      <c r="I250" s="7">
        <v>31.264829</v>
      </c>
      <c r="J250" s="14">
        <v>0.8</v>
      </c>
      <c r="K250" s="14">
        <v>1618</v>
      </c>
      <c r="L250" s="15">
        <f t="shared" si="8"/>
        <v>1</v>
      </c>
      <c r="M250" s="15">
        <f t="shared" si="9"/>
        <v>1</v>
      </c>
      <c r="N250" s="14">
        <v>30</v>
      </c>
      <c r="O250" s="14">
        <v>120</v>
      </c>
      <c r="P250" s="13" t="s">
        <v>714</v>
      </c>
      <c r="Q250" s="13" t="s">
        <v>579</v>
      </c>
      <c r="R250" s="13" t="s">
        <v>713</v>
      </c>
      <c r="S250" s="13" t="s">
        <v>715</v>
      </c>
      <c r="T250" s="13" t="s">
        <v>26</v>
      </c>
      <c r="U250" s="13" t="s">
        <v>37</v>
      </c>
      <c r="V250" s="13">
        <v>2</v>
      </c>
    </row>
    <row r="251" spans="1:22">
      <c r="A251" s="3">
        <v>249</v>
      </c>
      <c r="B251" s="4">
        <v>190307</v>
      </c>
      <c r="C251" s="4" t="s">
        <v>716</v>
      </c>
      <c r="D251" s="20" t="s">
        <v>717</v>
      </c>
      <c r="E251" s="5">
        <v>31.2767127327736</v>
      </c>
      <c r="F251" s="6">
        <v>121.497117</v>
      </c>
      <c r="G251" s="6">
        <v>31.276645</v>
      </c>
      <c r="H251" s="7">
        <v>121.497403</v>
      </c>
      <c r="I251" s="7">
        <v>31.276701</v>
      </c>
      <c r="J251" s="14">
        <v>0.8</v>
      </c>
      <c r="K251" s="14">
        <v>1532</v>
      </c>
      <c r="L251" s="15">
        <f t="shared" si="8"/>
        <v>1</v>
      </c>
      <c r="M251" s="15">
        <f t="shared" si="9"/>
        <v>1</v>
      </c>
      <c r="N251" s="14">
        <v>30</v>
      </c>
      <c r="O251" s="14">
        <v>120</v>
      </c>
      <c r="P251" s="13" t="s">
        <v>718</v>
      </c>
      <c r="Q251" s="13" t="s">
        <v>579</v>
      </c>
      <c r="R251" s="13" t="s">
        <v>719</v>
      </c>
      <c r="S251" s="13" t="s">
        <v>719</v>
      </c>
      <c r="T251" s="13" t="s">
        <v>26</v>
      </c>
      <c r="U251" s="13" t="s">
        <v>37</v>
      </c>
      <c r="V251" s="13">
        <v>2</v>
      </c>
    </row>
    <row r="252" spans="1:22">
      <c r="A252" s="3">
        <v>250</v>
      </c>
      <c r="B252" s="4">
        <v>190310</v>
      </c>
      <c r="C252" s="4" t="s">
        <v>720</v>
      </c>
      <c r="D252" s="5">
        <v>121.511984394942</v>
      </c>
      <c r="E252" s="5">
        <v>31.2232588106592</v>
      </c>
      <c r="F252" s="6">
        <v>121.511903</v>
      </c>
      <c r="G252" s="6">
        <v>31.223702</v>
      </c>
      <c r="H252" s="7">
        <v>121.512383</v>
      </c>
      <c r="I252" s="7">
        <v>31.222332</v>
      </c>
      <c r="J252" s="14">
        <v>0.8</v>
      </c>
      <c r="K252" s="14">
        <v>1285</v>
      </c>
      <c r="L252" s="15">
        <f t="shared" si="8"/>
        <v>1</v>
      </c>
      <c r="M252" s="15">
        <f t="shared" si="9"/>
        <v>1</v>
      </c>
      <c r="N252" s="14">
        <v>60</v>
      </c>
      <c r="O252" s="14">
        <v>140</v>
      </c>
      <c r="P252" s="13" t="s">
        <v>721</v>
      </c>
      <c r="Q252" s="13" t="s">
        <v>565</v>
      </c>
      <c r="R252" s="13" t="s">
        <v>720</v>
      </c>
      <c r="S252" s="13" t="s">
        <v>722</v>
      </c>
      <c r="T252" s="13" t="s">
        <v>70</v>
      </c>
      <c r="U252" s="13" t="s">
        <v>64</v>
      </c>
      <c r="V252" s="13">
        <v>4</v>
      </c>
    </row>
    <row r="253" spans="1:22">
      <c r="A253" s="3">
        <v>251</v>
      </c>
      <c r="B253" s="4">
        <v>190307</v>
      </c>
      <c r="C253" s="4" t="s">
        <v>723</v>
      </c>
      <c r="D253" s="5">
        <v>121.499976602941</v>
      </c>
      <c r="E253" s="5">
        <v>31.2734071251654</v>
      </c>
      <c r="F253" s="6">
        <v>121.499651</v>
      </c>
      <c r="G253" s="6">
        <v>31.273003</v>
      </c>
      <c r="H253" s="7">
        <v>121.500068</v>
      </c>
      <c r="I253" s="7">
        <v>31.273385</v>
      </c>
      <c r="J253" s="14">
        <v>0.8</v>
      </c>
      <c r="K253" s="14">
        <v>1573</v>
      </c>
      <c r="L253" s="15">
        <f t="shared" si="8"/>
        <v>1</v>
      </c>
      <c r="M253" s="15">
        <f t="shared" si="9"/>
        <v>1</v>
      </c>
      <c r="N253" s="14">
        <v>60</v>
      </c>
      <c r="O253" s="14">
        <v>140</v>
      </c>
      <c r="P253" s="13" t="s">
        <v>724</v>
      </c>
      <c r="Q253" s="13" t="s">
        <v>579</v>
      </c>
      <c r="R253" s="13" t="s">
        <v>666</v>
      </c>
      <c r="S253" s="13" t="s">
        <v>666</v>
      </c>
      <c r="T253" s="13" t="s">
        <v>26</v>
      </c>
      <c r="U253" s="13" t="s">
        <v>64</v>
      </c>
      <c r="V253" s="13">
        <v>4</v>
      </c>
    </row>
    <row r="254" spans="1:22">
      <c r="A254" s="3">
        <v>252</v>
      </c>
      <c r="B254" s="4">
        <v>190306</v>
      </c>
      <c r="C254" s="4" t="s">
        <v>725</v>
      </c>
      <c r="D254" s="5">
        <v>121.496000690749</v>
      </c>
      <c r="E254" s="5">
        <v>31.2982148944713</v>
      </c>
      <c r="F254" s="6">
        <v>121.494602</v>
      </c>
      <c r="G254" s="6">
        <v>31.297689</v>
      </c>
      <c r="H254" s="7">
        <v>121.498271</v>
      </c>
      <c r="I254" s="7">
        <v>31.298967</v>
      </c>
      <c r="J254" s="14">
        <v>0.8</v>
      </c>
      <c r="K254" s="14">
        <v>1438</v>
      </c>
      <c r="L254" s="15">
        <f t="shared" si="8"/>
        <v>1</v>
      </c>
      <c r="M254" s="15">
        <f t="shared" si="9"/>
        <v>1</v>
      </c>
      <c r="N254" s="14">
        <v>80</v>
      </c>
      <c r="O254" s="14">
        <v>160</v>
      </c>
      <c r="P254" s="13" t="s">
        <v>726</v>
      </c>
      <c r="Q254" s="13" t="s">
        <v>579</v>
      </c>
      <c r="R254" s="13" t="s">
        <v>725</v>
      </c>
      <c r="S254" s="13" t="s">
        <v>727</v>
      </c>
      <c r="T254" s="13" t="s">
        <v>95</v>
      </c>
      <c r="U254" s="13" t="s">
        <v>31</v>
      </c>
      <c r="V254" s="13">
        <v>4</v>
      </c>
    </row>
    <row r="255" spans="1:22">
      <c r="A255" s="3">
        <v>253</v>
      </c>
      <c r="B255" s="4">
        <v>190310</v>
      </c>
      <c r="C255" s="4" t="s">
        <v>728</v>
      </c>
      <c r="D255" s="5">
        <v>121.508243244966</v>
      </c>
      <c r="E255" s="5">
        <v>31.2530698816611</v>
      </c>
      <c r="F255" s="6">
        <v>121.507348</v>
      </c>
      <c r="G255" s="6">
        <v>31.254641</v>
      </c>
      <c r="H255" s="7">
        <v>121.51091</v>
      </c>
      <c r="I255" s="7">
        <v>31.249094</v>
      </c>
      <c r="J255" s="14">
        <v>0.8</v>
      </c>
      <c r="K255" s="14">
        <v>1352</v>
      </c>
      <c r="L255" s="15">
        <f t="shared" si="8"/>
        <v>1</v>
      </c>
      <c r="M255" s="15">
        <f t="shared" si="9"/>
        <v>1</v>
      </c>
      <c r="N255" s="14">
        <v>50</v>
      </c>
      <c r="O255" s="14">
        <v>120</v>
      </c>
      <c r="P255" s="13" t="s">
        <v>729</v>
      </c>
      <c r="Q255" s="13" t="s">
        <v>579</v>
      </c>
      <c r="R255" s="13" t="s">
        <v>728</v>
      </c>
      <c r="S255" s="13" t="s">
        <v>728</v>
      </c>
      <c r="T255" s="13" t="s">
        <v>70</v>
      </c>
      <c r="U255" s="13" t="s">
        <v>27</v>
      </c>
      <c r="V255" s="13">
        <v>2</v>
      </c>
    </row>
    <row r="256" spans="1:22">
      <c r="A256" s="3">
        <v>254</v>
      </c>
      <c r="B256" s="4">
        <v>190307</v>
      </c>
      <c r="C256" s="4" t="s">
        <v>730</v>
      </c>
      <c r="D256" s="5">
        <v>121.496212340159</v>
      </c>
      <c r="E256" s="5">
        <v>31.3101011575678</v>
      </c>
      <c r="F256" s="6">
        <v>121.496037</v>
      </c>
      <c r="G256" s="6">
        <v>31.310065</v>
      </c>
      <c r="H256" s="7">
        <v>121.496259</v>
      </c>
      <c r="I256" s="7">
        <v>31.310104</v>
      </c>
      <c r="J256" s="14">
        <v>0.8</v>
      </c>
      <c r="K256" s="14">
        <v>1299</v>
      </c>
      <c r="L256" s="15">
        <f t="shared" ref="L256:L309" si="10">IF(AND(J256&lt;=0.2),4,IF(AND(J256&gt;0.2,J256&lt;=0.4),3,IF(AND(J256&gt;0.4,J256&lt;=0.7),2,IF(AND(J256&gt;0.7,J256&lt;=1),1,"其他"))))</f>
        <v>1</v>
      </c>
      <c r="M256" s="15">
        <f t="shared" ref="M256:M309" si="11">IF(AND(L256&lt;=1),1,IF(AND(L256&gt;1),2,"其他"))</f>
        <v>1</v>
      </c>
      <c r="N256" s="14">
        <v>30</v>
      </c>
      <c r="O256" s="14">
        <v>120</v>
      </c>
      <c r="P256" s="13" t="s">
        <v>731</v>
      </c>
      <c r="Q256" s="13" t="s">
        <v>732</v>
      </c>
      <c r="R256" s="13" t="s">
        <v>733</v>
      </c>
      <c r="S256" s="13" t="s">
        <v>733</v>
      </c>
      <c r="T256" s="13" t="s">
        <v>26</v>
      </c>
      <c r="U256" s="13" t="s">
        <v>37</v>
      </c>
      <c r="V256" s="13">
        <v>2</v>
      </c>
    </row>
    <row r="257" spans="1:22">
      <c r="A257" s="3">
        <v>255</v>
      </c>
      <c r="B257" s="4">
        <v>190307</v>
      </c>
      <c r="C257" s="4" t="s">
        <v>734</v>
      </c>
      <c r="D257" s="5">
        <v>121.496578924237</v>
      </c>
      <c r="E257" s="5">
        <v>31.3136153262466</v>
      </c>
      <c r="F257" s="6">
        <v>121.49646</v>
      </c>
      <c r="G257" s="6">
        <v>31.313689</v>
      </c>
      <c r="H257" s="7">
        <v>121.49679</v>
      </c>
      <c r="I257" s="7">
        <v>31.313685</v>
      </c>
      <c r="J257" s="14">
        <v>0.8</v>
      </c>
      <c r="K257" s="14">
        <v>1226</v>
      </c>
      <c r="L257" s="15">
        <f t="shared" si="10"/>
        <v>1</v>
      </c>
      <c r="M257" s="15">
        <f t="shared" si="11"/>
        <v>1</v>
      </c>
      <c r="N257" s="14">
        <v>50</v>
      </c>
      <c r="O257" s="14">
        <v>120</v>
      </c>
      <c r="P257" s="13" t="s">
        <v>735</v>
      </c>
      <c r="Q257" s="13" t="s">
        <v>732</v>
      </c>
      <c r="R257" s="13" t="s">
        <v>736</v>
      </c>
      <c r="S257" s="13" t="s">
        <v>736</v>
      </c>
      <c r="T257" s="13" t="s">
        <v>26</v>
      </c>
      <c r="U257" s="13" t="s">
        <v>27</v>
      </c>
      <c r="V257" s="13">
        <v>2</v>
      </c>
    </row>
    <row r="258" spans="1:22">
      <c r="A258" s="3">
        <v>256</v>
      </c>
      <c r="B258" s="4">
        <v>190307</v>
      </c>
      <c r="C258" s="4" t="s">
        <v>737</v>
      </c>
      <c r="D258" s="5">
        <v>121.491231823858</v>
      </c>
      <c r="E258" s="5">
        <v>31.3405805171109</v>
      </c>
      <c r="F258" s="6">
        <v>121.491246</v>
      </c>
      <c r="G258" s="6">
        <v>31.340558</v>
      </c>
      <c r="H258" s="7">
        <v>121.491453</v>
      </c>
      <c r="I258" s="7">
        <v>31.340441</v>
      </c>
      <c r="J258" s="14">
        <v>0.8</v>
      </c>
      <c r="K258" s="14">
        <v>984</v>
      </c>
      <c r="L258" s="15">
        <f t="shared" si="10"/>
        <v>1</v>
      </c>
      <c r="M258" s="15">
        <f t="shared" si="11"/>
        <v>1</v>
      </c>
      <c r="N258" s="14">
        <v>50</v>
      </c>
      <c r="O258" s="14">
        <v>120</v>
      </c>
      <c r="P258" s="13" t="s">
        <v>738</v>
      </c>
      <c r="Q258" s="13" t="s">
        <v>165</v>
      </c>
      <c r="R258" s="13" t="s">
        <v>739</v>
      </c>
      <c r="S258" s="13" t="s">
        <v>739</v>
      </c>
      <c r="T258" s="13" t="s">
        <v>26</v>
      </c>
      <c r="U258" s="13" t="s">
        <v>27</v>
      </c>
      <c r="V258" s="13">
        <v>2</v>
      </c>
    </row>
    <row r="259" spans="1:22">
      <c r="A259" s="3">
        <v>257</v>
      </c>
      <c r="B259" s="4">
        <v>190308</v>
      </c>
      <c r="C259" s="4" t="s">
        <v>740</v>
      </c>
      <c r="D259" s="5">
        <v>121.510847440351</v>
      </c>
      <c r="E259" s="5">
        <v>31.2656644952096</v>
      </c>
      <c r="F259" s="6">
        <v>121.510227</v>
      </c>
      <c r="G259" s="6">
        <v>31.26502</v>
      </c>
      <c r="H259" s="7">
        <v>121.512231</v>
      </c>
      <c r="I259" s="7">
        <v>31.266639</v>
      </c>
      <c r="J259" s="14">
        <v>0.8</v>
      </c>
      <c r="K259" s="14">
        <v>1544</v>
      </c>
      <c r="L259" s="15">
        <f t="shared" si="10"/>
        <v>1</v>
      </c>
      <c r="M259" s="15">
        <f t="shared" si="11"/>
        <v>1</v>
      </c>
      <c r="N259" s="14">
        <v>80</v>
      </c>
      <c r="O259" s="14">
        <v>160</v>
      </c>
      <c r="P259" s="13" t="s">
        <v>741</v>
      </c>
      <c r="Q259" s="13" t="s">
        <v>579</v>
      </c>
      <c r="R259" s="13" t="s">
        <v>594</v>
      </c>
      <c r="S259" s="13" t="s">
        <v>181</v>
      </c>
      <c r="T259" s="13" t="s">
        <v>70</v>
      </c>
      <c r="U259" s="13" t="s">
        <v>31</v>
      </c>
      <c r="V259" s="13">
        <v>4</v>
      </c>
    </row>
    <row r="260" spans="1:22">
      <c r="A260" s="3">
        <v>258</v>
      </c>
      <c r="B260" s="4">
        <v>190307</v>
      </c>
      <c r="C260" s="4" t="s">
        <v>742</v>
      </c>
      <c r="D260" s="5">
        <v>121.533651012327</v>
      </c>
      <c r="E260" s="5">
        <v>31.2020276141503</v>
      </c>
      <c r="F260" s="6">
        <v>121.533607</v>
      </c>
      <c r="G260" s="6">
        <v>31.201905</v>
      </c>
      <c r="H260" s="7">
        <v>121.533828</v>
      </c>
      <c r="I260" s="7">
        <v>31.202475</v>
      </c>
      <c r="J260" s="14">
        <v>0.8</v>
      </c>
      <c r="K260" s="14">
        <v>991</v>
      </c>
      <c r="L260" s="15">
        <f t="shared" si="10"/>
        <v>1</v>
      </c>
      <c r="M260" s="15">
        <f t="shared" si="11"/>
        <v>1</v>
      </c>
      <c r="N260" s="14">
        <v>60</v>
      </c>
      <c r="O260" s="14">
        <v>140</v>
      </c>
      <c r="P260" s="13" t="s">
        <v>743</v>
      </c>
      <c r="Q260" s="13" t="s">
        <v>487</v>
      </c>
      <c r="R260" s="13" t="s">
        <v>744</v>
      </c>
      <c r="S260" s="13" t="s">
        <v>744</v>
      </c>
      <c r="T260" s="13" t="s">
        <v>26</v>
      </c>
      <c r="U260" s="13" t="s">
        <v>64</v>
      </c>
      <c r="V260" s="13">
        <v>4</v>
      </c>
    </row>
    <row r="261" spans="1:22">
      <c r="A261" s="3">
        <v>259</v>
      </c>
      <c r="B261" s="4">
        <v>190307</v>
      </c>
      <c r="C261" s="4" t="s">
        <v>745</v>
      </c>
      <c r="D261" s="5">
        <v>121.504451335926</v>
      </c>
      <c r="E261" s="5">
        <v>31.3196012323508</v>
      </c>
      <c r="F261" s="6">
        <v>121.50455</v>
      </c>
      <c r="G261" s="6">
        <v>31.319267</v>
      </c>
      <c r="H261" s="7">
        <v>121.504629</v>
      </c>
      <c r="I261" s="7">
        <v>31.318865</v>
      </c>
      <c r="J261" s="14">
        <v>0.8</v>
      </c>
      <c r="K261" s="14">
        <v>1180</v>
      </c>
      <c r="L261" s="15">
        <f t="shared" si="10"/>
        <v>1</v>
      </c>
      <c r="M261" s="15">
        <f t="shared" si="11"/>
        <v>1</v>
      </c>
      <c r="N261" s="14">
        <v>30</v>
      </c>
      <c r="O261" s="14">
        <v>120</v>
      </c>
      <c r="P261" s="13" t="s">
        <v>746</v>
      </c>
      <c r="Q261" s="13" t="s">
        <v>732</v>
      </c>
      <c r="R261" s="13" t="s">
        <v>747</v>
      </c>
      <c r="S261" s="13" t="s">
        <v>747</v>
      </c>
      <c r="T261" s="13" t="s">
        <v>26</v>
      </c>
      <c r="U261" s="13" t="s">
        <v>37</v>
      </c>
      <c r="V261" s="13">
        <v>2</v>
      </c>
    </row>
    <row r="262" spans="1:22">
      <c r="A262" s="3">
        <v>260</v>
      </c>
      <c r="B262" s="4">
        <v>190307</v>
      </c>
      <c r="C262" s="4" t="s">
        <v>748</v>
      </c>
      <c r="D262" s="5">
        <v>121.542384053841</v>
      </c>
      <c r="E262" s="5">
        <v>31.1766084677205</v>
      </c>
      <c r="F262" s="6">
        <v>121.542675</v>
      </c>
      <c r="G262" s="6">
        <v>31.176683</v>
      </c>
      <c r="H262" s="7">
        <v>121.542903</v>
      </c>
      <c r="I262" s="7">
        <v>31.176755</v>
      </c>
      <c r="J262" s="14">
        <v>0.8</v>
      </c>
      <c r="K262" s="14">
        <v>999</v>
      </c>
      <c r="L262" s="15">
        <f t="shared" si="10"/>
        <v>1</v>
      </c>
      <c r="M262" s="15">
        <f t="shared" si="11"/>
        <v>1</v>
      </c>
      <c r="N262" s="14">
        <v>30</v>
      </c>
      <c r="O262" s="14">
        <v>120</v>
      </c>
      <c r="P262" s="13" t="s">
        <v>749</v>
      </c>
      <c r="Q262" s="13" t="s">
        <v>487</v>
      </c>
      <c r="R262" s="13" t="s">
        <v>748</v>
      </c>
      <c r="S262" s="13" t="s">
        <v>750</v>
      </c>
      <c r="T262" s="13" t="s">
        <v>26</v>
      </c>
      <c r="U262" s="13" t="s">
        <v>37</v>
      </c>
      <c r="V262" s="13">
        <v>2</v>
      </c>
    </row>
    <row r="263" spans="1:22">
      <c r="A263" s="3">
        <v>261</v>
      </c>
      <c r="B263" s="4">
        <v>190307</v>
      </c>
      <c r="C263" s="4" t="s">
        <v>751</v>
      </c>
      <c r="D263" s="5">
        <v>121.504757717843</v>
      </c>
      <c r="E263" s="5">
        <v>31.3238557197888</v>
      </c>
      <c r="F263" s="6">
        <v>121.504704</v>
      </c>
      <c r="G263" s="6">
        <v>31.323478</v>
      </c>
      <c r="H263" s="7">
        <v>121.504764</v>
      </c>
      <c r="I263" s="7">
        <v>31.323818</v>
      </c>
      <c r="J263" s="14">
        <v>0.8</v>
      </c>
      <c r="K263" s="14">
        <v>1099</v>
      </c>
      <c r="L263" s="15">
        <f t="shared" si="10"/>
        <v>1</v>
      </c>
      <c r="M263" s="15">
        <f t="shared" si="11"/>
        <v>1</v>
      </c>
      <c r="N263" s="14">
        <v>30</v>
      </c>
      <c r="O263" s="14">
        <v>120</v>
      </c>
      <c r="P263" s="13" t="s">
        <v>752</v>
      </c>
      <c r="Q263" s="13" t="s">
        <v>732</v>
      </c>
      <c r="R263" s="13" t="s">
        <v>747</v>
      </c>
      <c r="S263" s="13" t="s">
        <v>747</v>
      </c>
      <c r="T263" s="13" t="s">
        <v>26</v>
      </c>
      <c r="U263" s="13" t="s">
        <v>37</v>
      </c>
      <c r="V263" s="13">
        <v>2</v>
      </c>
    </row>
    <row r="264" spans="1:22">
      <c r="A264" s="3">
        <v>262</v>
      </c>
      <c r="B264" s="4">
        <v>190306</v>
      </c>
      <c r="C264" s="4" t="s">
        <v>753</v>
      </c>
      <c r="D264" s="5">
        <v>121.535603554261</v>
      </c>
      <c r="E264" s="5">
        <v>31.2051396061449</v>
      </c>
      <c r="F264" s="6">
        <v>121.535502</v>
      </c>
      <c r="G264" s="6">
        <v>31.206452</v>
      </c>
      <c r="H264" s="7">
        <v>121.534898</v>
      </c>
      <c r="I264" s="7">
        <v>31.204279</v>
      </c>
      <c r="J264" s="14">
        <v>0.8</v>
      </c>
      <c r="K264" s="14">
        <v>1071</v>
      </c>
      <c r="L264" s="15">
        <f t="shared" si="10"/>
        <v>1</v>
      </c>
      <c r="M264" s="15">
        <f t="shared" si="11"/>
        <v>1</v>
      </c>
      <c r="N264" s="14">
        <v>80</v>
      </c>
      <c r="O264" s="14">
        <v>160</v>
      </c>
      <c r="P264" s="13" t="s">
        <v>754</v>
      </c>
      <c r="Q264" s="13" t="s">
        <v>487</v>
      </c>
      <c r="R264" s="13" t="s">
        <v>753</v>
      </c>
      <c r="S264" s="13" t="s">
        <v>744</v>
      </c>
      <c r="T264" s="13" t="s">
        <v>95</v>
      </c>
      <c r="U264" s="13" t="s">
        <v>31</v>
      </c>
      <c r="V264" s="13">
        <v>4</v>
      </c>
    </row>
    <row r="265" spans="1:22">
      <c r="A265" s="3">
        <v>263</v>
      </c>
      <c r="B265" s="4">
        <v>190310</v>
      </c>
      <c r="C265" s="4" t="s">
        <v>755</v>
      </c>
      <c r="D265" s="5">
        <v>121.526619089104</v>
      </c>
      <c r="E265" s="5">
        <v>31.2524579202126</v>
      </c>
      <c r="F265" s="6">
        <v>121.526212</v>
      </c>
      <c r="G265" s="6">
        <v>31.246748</v>
      </c>
      <c r="H265" s="7">
        <v>121.523304</v>
      </c>
      <c r="I265" s="7">
        <v>31.258953</v>
      </c>
      <c r="J265" s="14">
        <v>0.8</v>
      </c>
      <c r="K265" s="14">
        <v>1041</v>
      </c>
      <c r="L265" s="15">
        <f t="shared" si="10"/>
        <v>1</v>
      </c>
      <c r="M265" s="15">
        <f t="shared" si="11"/>
        <v>1</v>
      </c>
      <c r="N265" s="14">
        <v>50</v>
      </c>
      <c r="O265" s="14">
        <v>120</v>
      </c>
      <c r="P265" s="13" t="s">
        <v>756</v>
      </c>
      <c r="Q265" s="13" t="s">
        <v>487</v>
      </c>
      <c r="R265" s="13" t="s">
        <v>755</v>
      </c>
      <c r="S265" s="13" t="s">
        <v>755</v>
      </c>
      <c r="T265" s="13" t="s">
        <v>70</v>
      </c>
      <c r="U265" s="13" t="s">
        <v>27</v>
      </c>
      <c r="V265" s="13">
        <v>2</v>
      </c>
    </row>
    <row r="266" spans="1:22">
      <c r="A266" s="3">
        <v>264</v>
      </c>
      <c r="B266" s="4">
        <v>190307</v>
      </c>
      <c r="C266" s="4" t="s">
        <v>757</v>
      </c>
      <c r="D266" s="5">
        <v>121.545592902626</v>
      </c>
      <c r="E266" s="5">
        <v>31.1800922997242</v>
      </c>
      <c r="F266" s="6">
        <v>121.545504</v>
      </c>
      <c r="G266" s="6">
        <v>31.18036</v>
      </c>
      <c r="H266" s="7">
        <v>121.545689</v>
      </c>
      <c r="I266" s="7">
        <v>31.179821</v>
      </c>
      <c r="J266" s="14">
        <v>0.8</v>
      </c>
      <c r="K266" s="14">
        <v>990</v>
      </c>
      <c r="L266" s="15">
        <f t="shared" si="10"/>
        <v>1</v>
      </c>
      <c r="M266" s="15">
        <f t="shared" si="11"/>
        <v>1</v>
      </c>
      <c r="N266" s="14">
        <v>30</v>
      </c>
      <c r="O266" s="14">
        <v>120</v>
      </c>
      <c r="P266" s="13" t="s">
        <v>758</v>
      </c>
      <c r="Q266" s="13" t="s">
        <v>487</v>
      </c>
      <c r="R266" s="13" t="s">
        <v>759</v>
      </c>
      <c r="S266" s="13" t="s">
        <v>759</v>
      </c>
      <c r="T266" s="13" t="s">
        <v>26</v>
      </c>
      <c r="U266" s="13" t="s">
        <v>37</v>
      </c>
      <c r="V266" s="13">
        <v>2</v>
      </c>
    </row>
    <row r="267" spans="1:22">
      <c r="A267" s="3">
        <v>265</v>
      </c>
      <c r="B267" s="4">
        <v>190307</v>
      </c>
      <c r="C267" s="4" t="s">
        <v>760</v>
      </c>
      <c r="D267" s="5">
        <v>121.513136693551</v>
      </c>
      <c r="E267" s="5">
        <v>31.3075667485407</v>
      </c>
      <c r="F267" s="6">
        <v>121.513055</v>
      </c>
      <c r="G267" s="6">
        <v>31.307685</v>
      </c>
      <c r="H267" s="7">
        <v>121.513388</v>
      </c>
      <c r="I267" s="7">
        <v>31.307141</v>
      </c>
      <c r="J267" s="14">
        <v>0.8</v>
      </c>
      <c r="K267" s="14">
        <v>1594</v>
      </c>
      <c r="L267" s="15">
        <f t="shared" si="10"/>
        <v>1</v>
      </c>
      <c r="M267" s="15">
        <f t="shared" si="11"/>
        <v>1</v>
      </c>
      <c r="N267" s="14">
        <v>30</v>
      </c>
      <c r="O267" s="14">
        <v>120</v>
      </c>
      <c r="P267" s="13" t="s">
        <v>761</v>
      </c>
      <c r="Q267" s="13" t="s">
        <v>732</v>
      </c>
      <c r="R267" s="13" t="s">
        <v>760</v>
      </c>
      <c r="S267" s="13" t="s">
        <v>762</v>
      </c>
      <c r="T267" s="13" t="s">
        <v>26</v>
      </c>
      <c r="U267" s="13" t="s">
        <v>37</v>
      </c>
      <c r="V267" s="13">
        <v>2</v>
      </c>
    </row>
    <row r="268" spans="1:22">
      <c r="A268" s="3">
        <v>266</v>
      </c>
      <c r="B268" s="4">
        <v>190307</v>
      </c>
      <c r="C268" s="4" t="s">
        <v>763</v>
      </c>
      <c r="D268" s="5">
        <v>121.518075640134</v>
      </c>
      <c r="E268" s="5">
        <v>31.2905139570985</v>
      </c>
      <c r="F268" s="6">
        <v>121.517824</v>
      </c>
      <c r="G268" s="6">
        <v>31.290642</v>
      </c>
      <c r="H268" s="7">
        <v>121.518517</v>
      </c>
      <c r="I268" s="7">
        <v>31.29045</v>
      </c>
      <c r="J268" s="14">
        <v>0.8</v>
      </c>
      <c r="K268" s="14">
        <v>1339</v>
      </c>
      <c r="L268" s="15">
        <f t="shared" si="10"/>
        <v>1</v>
      </c>
      <c r="M268" s="15">
        <f t="shared" si="11"/>
        <v>1</v>
      </c>
      <c r="N268" s="14">
        <v>60</v>
      </c>
      <c r="O268" s="14">
        <v>140</v>
      </c>
      <c r="P268" s="13" t="s">
        <v>764</v>
      </c>
      <c r="Q268" s="13" t="s">
        <v>732</v>
      </c>
      <c r="R268" s="13" t="s">
        <v>765</v>
      </c>
      <c r="S268" s="13" t="s">
        <v>765</v>
      </c>
      <c r="T268" s="13" t="s">
        <v>26</v>
      </c>
      <c r="U268" s="13" t="s">
        <v>64</v>
      </c>
      <c r="V268" s="13">
        <v>4</v>
      </c>
    </row>
    <row r="269" spans="1:22">
      <c r="A269" s="3">
        <v>267</v>
      </c>
      <c r="B269" s="4">
        <v>190306</v>
      </c>
      <c r="C269" s="4" t="s">
        <v>766</v>
      </c>
      <c r="D269" s="5">
        <v>121.538207300054</v>
      </c>
      <c r="E269" s="5">
        <v>31.2138005299662</v>
      </c>
      <c r="F269" s="6">
        <v>121.53782</v>
      </c>
      <c r="G269" s="6">
        <v>31.212738</v>
      </c>
      <c r="H269" s="7">
        <v>121.538617</v>
      </c>
      <c r="I269" s="7">
        <v>31.214705</v>
      </c>
      <c r="J269" s="14">
        <v>0.8</v>
      </c>
      <c r="K269" s="14">
        <v>1411</v>
      </c>
      <c r="L269" s="15">
        <f t="shared" si="10"/>
        <v>1</v>
      </c>
      <c r="M269" s="15">
        <f t="shared" si="11"/>
        <v>1</v>
      </c>
      <c r="N269" s="14">
        <v>80</v>
      </c>
      <c r="O269" s="14">
        <v>160</v>
      </c>
      <c r="P269" s="13" t="s">
        <v>767</v>
      </c>
      <c r="Q269" s="13" t="s">
        <v>487</v>
      </c>
      <c r="R269" s="13" t="s">
        <v>766</v>
      </c>
      <c r="S269" s="13" t="s">
        <v>744</v>
      </c>
      <c r="T269" s="13" t="s">
        <v>95</v>
      </c>
      <c r="U269" s="13" t="s">
        <v>31</v>
      </c>
      <c r="V269" s="13">
        <v>4</v>
      </c>
    </row>
    <row r="270" spans="1:22">
      <c r="A270" s="3">
        <v>268</v>
      </c>
      <c r="B270" s="4">
        <v>190310</v>
      </c>
      <c r="C270" s="4" t="s">
        <v>768</v>
      </c>
      <c r="D270" s="5">
        <v>121.515751599505</v>
      </c>
      <c r="E270" s="5">
        <v>31.303797286544</v>
      </c>
      <c r="F270" s="6">
        <v>121.513477</v>
      </c>
      <c r="G270" s="6">
        <v>31.303059</v>
      </c>
      <c r="H270" s="7">
        <v>121.516818</v>
      </c>
      <c r="I270" s="7">
        <v>31.304133</v>
      </c>
      <c r="J270" s="14">
        <v>0.8</v>
      </c>
      <c r="K270" s="14">
        <v>1646</v>
      </c>
      <c r="L270" s="15">
        <f t="shared" si="10"/>
        <v>1</v>
      </c>
      <c r="M270" s="15">
        <f t="shared" si="11"/>
        <v>1</v>
      </c>
      <c r="N270" s="14">
        <v>80</v>
      </c>
      <c r="O270" s="14">
        <v>160</v>
      </c>
      <c r="P270" s="13" t="s">
        <v>769</v>
      </c>
      <c r="Q270" s="13" t="s">
        <v>732</v>
      </c>
      <c r="R270" s="13" t="s">
        <v>768</v>
      </c>
      <c r="S270" s="13" t="s">
        <v>127</v>
      </c>
      <c r="T270" s="13" t="s">
        <v>70</v>
      </c>
      <c r="U270" s="13" t="s">
        <v>31</v>
      </c>
      <c r="V270" s="13">
        <v>4</v>
      </c>
    </row>
    <row r="271" spans="1:22">
      <c r="A271" s="3">
        <v>269</v>
      </c>
      <c r="B271" s="4">
        <v>190307</v>
      </c>
      <c r="C271" s="4" t="s">
        <v>770</v>
      </c>
      <c r="D271" s="5">
        <v>121.521967955895</v>
      </c>
      <c r="E271" s="5">
        <v>31.2860446008309</v>
      </c>
      <c r="F271" s="6">
        <v>121.522454</v>
      </c>
      <c r="G271" s="6">
        <v>31.286273</v>
      </c>
      <c r="H271" s="7">
        <v>121.522081</v>
      </c>
      <c r="I271" s="7">
        <v>31.286089</v>
      </c>
      <c r="J271" s="14">
        <v>0.8</v>
      </c>
      <c r="K271" s="14">
        <v>1531</v>
      </c>
      <c r="L271" s="15">
        <f t="shared" si="10"/>
        <v>1</v>
      </c>
      <c r="M271" s="15">
        <f t="shared" si="11"/>
        <v>1</v>
      </c>
      <c r="N271" s="14">
        <v>30</v>
      </c>
      <c r="O271" s="14">
        <v>120</v>
      </c>
      <c r="P271" s="13" t="s">
        <v>771</v>
      </c>
      <c r="Q271" s="13" t="s">
        <v>732</v>
      </c>
      <c r="R271" s="13" t="s">
        <v>772</v>
      </c>
      <c r="S271" s="13" t="s">
        <v>772</v>
      </c>
      <c r="T271" s="13" t="s">
        <v>26</v>
      </c>
      <c r="U271" s="13" t="s">
        <v>37</v>
      </c>
      <c r="V271" s="13">
        <v>2</v>
      </c>
    </row>
    <row r="272" spans="1:22">
      <c r="A272" s="3">
        <v>270</v>
      </c>
      <c r="B272" s="4">
        <v>190307</v>
      </c>
      <c r="C272" s="4" t="s">
        <v>773</v>
      </c>
      <c r="D272" s="5">
        <v>121.521154052557</v>
      </c>
      <c r="E272" s="5">
        <v>31.290590145908</v>
      </c>
      <c r="F272" s="6">
        <v>121.52114</v>
      </c>
      <c r="G272" s="6">
        <v>31.290585</v>
      </c>
      <c r="H272" s="7">
        <v>121.521283</v>
      </c>
      <c r="I272" s="7">
        <v>31.290845</v>
      </c>
      <c r="J272" s="14">
        <v>0.8</v>
      </c>
      <c r="K272" s="14">
        <v>1357</v>
      </c>
      <c r="L272" s="15">
        <f t="shared" si="10"/>
        <v>1</v>
      </c>
      <c r="M272" s="15">
        <f t="shared" si="11"/>
        <v>1</v>
      </c>
      <c r="N272" s="14">
        <v>30</v>
      </c>
      <c r="O272" s="14">
        <v>120</v>
      </c>
      <c r="P272" s="13" t="s">
        <v>774</v>
      </c>
      <c r="Q272" s="13" t="s">
        <v>732</v>
      </c>
      <c r="R272" s="13" t="s">
        <v>775</v>
      </c>
      <c r="S272" s="13" t="s">
        <v>775</v>
      </c>
      <c r="T272" s="13" t="s">
        <v>26</v>
      </c>
      <c r="U272" s="13" t="s">
        <v>37</v>
      </c>
      <c r="V272" s="13">
        <v>2</v>
      </c>
    </row>
    <row r="273" spans="1:22">
      <c r="A273" s="3">
        <v>271</v>
      </c>
      <c r="B273" s="4">
        <v>190307</v>
      </c>
      <c r="C273" s="4" t="s">
        <v>776</v>
      </c>
      <c r="D273" s="5">
        <v>121.524312114308</v>
      </c>
      <c r="E273" s="5">
        <v>31.282609353745</v>
      </c>
      <c r="F273" s="6">
        <v>121.52406</v>
      </c>
      <c r="G273" s="6">
        <v>31.282531</v>
      </c>
      <c r="H273" s="7">
        <v>121.52435</v>
      </c>
      <c r="I273" s="7">
        <v>31.28261</v>
      </c>
      <c r="J273" s="14">
        <v>0.8</v>
      </c>
      <c r="K273" s="14">
        <v>1520</v>
      </c>
      <c r="L273" s="15">
        <f t="shared" si="10"/>
        <v>1</v>
      </c>
      <c r="M273" s="15">
        <f t="shared" si="11"/>
        <v>1</v>
      </c>
      <c r="N273" s="14">
        <v>30</v>
      </c>
      <c r="O273" s="14">
        <v>120</v>
      </c>
      <c r="P273" s="13" t="s">
        <v>777</v>
      </c>
      <c r="Q273" s="13" t="s">
        <v>732</v>
      </c>
      <c r="R273" s="13" t="s">
        <v>776</v>
      </c>
      <c r="S273" s="13" t="s">
        <v>778</v>
      </c>
      <c r="T273" s="13" t="s">
        <v>26</v>
      </c>
      <c r="U273" s="13" t="s">
        <v>37</v>
      </c>
      <c r="V273" s="13">
        <v>2</v>
      </c>
    </row>
    <row r="274" spans="1:22">
      <c r="A274" s="3">
        <v>272</v>
      </c>
      <c r="B274" s="4">
        <v>190307</v>
      </c>
      <c r="C274" s="4" t="s">
        <v>779</v>
      </c>
      <c r="D274" s="5">
        <v>121.524773830014</v>
      </c>
      <c r="E274" s="5">
        <v>31.2817746469402</v>
      </c>
      <c r="F274" s="6">
        <v>121.524775</v>
      </c>
      <c r="G274" s="6">
        <v>31.281907</v>
      </c>
      <c r="H274" s="7">
        <v>121.524853</v>
      </c>
      <c r="I274" s="7">
        <v>31.281613</v>
      </c>
      <c r="J274" s="14">
        <v>0.8</v>
      </c>
      <c r="K274" s="14">
        <v>1520</v>
      </c>
      <c r="L274" s="15">
        <f t="shared" si="10"/>
        <v>1</v>
      </c>
      <c r="M274" s="15">
        <f t="shared" si="11"/>
        <v>1</v>
      </c>
      <c r="N274" s="14">
        <v>50</v>
      </c>
      <c r="O274" s="14">
        <v>120</v>
      </c>
      <c r="P274" s="13" t="s">
        <v>780</v>
      </c>
      <c r="Q274" s="13" t="s">
        <v>732</v>
      </c>
      <c r="R274" s="13" t="s">
        <v>781</v>
      </c>
      <c r="S274" s="13" t="s">
        <v>781</v>
      </c>
      <c r="T274" s="13" t="s">
        <v>26</v>
      </c>
      <c r="U274" s="13" t="s">
        <v>27</v>
      </c>
      <c r="V274" s="13">
        <v>2</v>
      </c>
    </row>
    <row r="275" spans="1:22">
      <c r="A275" s="3">
        <v>273</v>
      </c>
      <c r="B275" s="4">
        <v>190307</v>
      </c>
      <c r="C275" s="4" t="s">
        <v>782</v>
      </c>
      <c r="D275" s="5">
        <v>121.501252532876</v>
      </c>
      <c r="E275" s="5">
        <v>31.374000582518</v>
      </c>
      <c r="F275" s="6">
        <v>121.50101</v>
      </c>
      <c r="G275" s="6">
        <v>31.374436</v>
      </c>
      <c r="H275" s="7">
        <v>121.501537</v>
      </c>
      <c r="I275" s="7">
        <v>31.373509</v>
      </c>
      <c r="J275" s="14">
        <v>0.8</v>
      </c>
      <c r="K275" s="14">
        <v>758</v>
      </c>
      <c r="L275" s="15">
        <f t="shared" si="10"/>
        <v>1</v>
      </c>
      <c r="M275" s="15">
        <f t="shared" si="11"/>
        <v>1</v>
      </c>
      <c r="N275" s="14">
        <v>80</v>
      </c>
      <c r="O275" s="14">
        <v>160</v>
      </c>
      <c r="P275" s="13" t="s">
        <v>783</v>
      </c>
      <c r="Q275" s="13" t="s">
        <v>165</v>
      </c>
      <c r="R275" s="13" t="s">
        <v>782</v>
      </c>
      <c r="S275" s="13" t="s">
        <v>727</v>
      </c>
      <c r="T275" s="13" t="s">
        <v>26</v>
      </c>
      <c r="U275" s="13" t="s">
        <v>31</v>
      </c>
      <c r="V275" s="13">
        <v>4</v>
      </c>
    </row>
    <row r="276" spans="1:22">
      <c r="A276" s="3">
        <v>274</v>
      </c>
      <c r="B276" s="4">
        <v>190310</v>
      </c>
      <c r="C276" s="4" t="s">
        <v>784</v>
      </c>
      <c r="D276" s="5">
        <v>121.516419114668</v>
      </c>
      <c r="E276" s="5">
        <v>31.3157703832344</v>
      </c>
      <c r="F276" s="6">
        <v>121.516515</v>
      </c>
      <c r="G276" s="6">
        <v>31.315583</v>
      </c>
      <c r="H276" s="7">
        <v>121.516073</v>
      </c>
      <c r="I276" s="7">
        <v>31.316287</v>
      </c>
      <c r="J276" s="14">
        <v>0.8</v>
      </c>
      <c r="K276" s="14">
        <v>1558</v>
      </c>
      <c r="L276" s="15">
        <f t="shared" si="10"/>
        <v>1</v>
      </c>
      <c r="M276" s="15">
        <f t="shared" si="11"/>
        <v>1</v>
      </c>
      <c r="N276" s="14">
        <v>50</v>
      </c>
      <c r="O276" s="14">
        <v>120</v>
      </c>
      <c r="P276" s="13" t="s">
        <v>785</v>
      </c>
      <c r="Q276" s="13" t="s">
        <v>732</v>
      </c>
      <c r="R276" s="13" t="s">
        <v>786</v>
      </c>
      <c r="S276" s="13" t="s">
        <v>786</v>
      </c>
      <c r="T276" s="13" t="s">
        <v>70</v>
      </c>
      <c r="U276" s="13" t="s">
        <v>27</v>
      </c>
      <c r="V276" s="13">
        <v>2</v>
      </c>
    </row>
    <row r="277" spans="1:22">
      <c r="A277" s="3">
        <v>275</v>
      </c>
      <c r="B277" s="4">
        <v>190307</v>
      </c>
      <c r="C277" s="4" t="s">
        <v>787</v>
      </c>
      <c r="D277" s="5">
        <v>121.526200469533</v>
      </c>
      <c r="E277" s="5">
        <v>31.2810346609894</v>
      </c>
      <c r="F277" s="6">
        <v>121.526182</v>
      </c>
      <c r="G277" s="6">
        <v>31.281084</v>
      </c>
      <c r="H277" s="7">
        <v>121.526454</v>
      </c>
      <c r="I277" s="7">
        <v>31.281151</v>
      </c>
      <c r="J277" s="14">
        <v>0.8</v>
      </c>
      <c r="K277" s="14">
        <v>1504</v>
      </c>
      <c r="L277" s="15">
        <f t="shared" si="10"/>
        <v>1</v>
      </c>
      <c r="M277" s="15">
        <f t="shared" si="11"/>
        <v>1</v>
      </c>
      <c r="N277" s="14">
        <v>50</v>
      </c>
      <c r="O277" s="14">
        <v>120</v>
      </c>
      <c r="P277" s="13" t="s">
        <v>788</v>
      </c>
      <c r="Q277" s="13" t="s">
        <v>732</v>
      </c>
      <c r="R277" s="13" t="s">
        <v>787</v>
      </c>
      <c r="S277" s="13" t="s">
        <v>789</v>
      </c>
      <c r="T277" s="13" t="s">
        <v>26</v>
      </c>
      <c r="U277" s="13" t="s">
        <v>27</v>
      </c>
      <c r="V277" s="13">
        <v>2</v>
      </c>
    </row>
    <row r="278" spans="1:22">
      <c r="A278" s="3">
        <v>276</v>
      </c>
      <c r="B278" s="4">
        <v>190310</v>
      </c>
      <c r="C278" s="4" t="s">
        <v>790</v>
      </c>
      <c r="D278" s="5">
        <v>121.522344756074</v>
      </c>
      <c r="E278" s="5">
        <v>31.3056768887465</v>
      </c>
      <c r="F278" s="6">
        <v>121.52363</v>
      </c>
      <c r="G278" s="6">
        <v>31.302878</v>
      </c>
      <c r="H278" s="7">
        <v>121.52101</v>
      </c>
      <c r="I278" s="7">
        <v>31.308085</v>
      </c>
      <c r="J278" s="14">
        <v>0.8</v>
      </c>
      <c r="K278" s="14">
        <v>1610</v>
      </c>
      <c r="L278" s="15">
        <f t="shared" si="10"/>
        <v>1</v>
      </c>
      <c r="M278" s="15">
        <f t="shared" si="11"/>
        <v>1</v>
      </c>
      <c r="N278" s="14">
        <v>30</v>
      </c>
      <c r="O278" s="14">
        <v>120</v>
      </c>
      <c r="P278" s="13" t="s">
        <v>791</v>
      </c>
      <c r="Q278" s="13" t="s">
        <v>732</v>
      </c>
      <c r="R278" s="13" t="s">
        <v>792</v>
      </c>
      <c r="S278" s="13" t="s">
        <v>790</v>
      </c>
      <c r="T278" s="13" t="s">
        <v>70</v>
      </c>
      <c r="U278" s="13" t="s">
        <v>37</v>
      </c>
      <c r="V278" s="13">
        <v>2</v>
      </c>
    </row>
    <row r="279" spans="1:22">
      <c r="A279" s="3">
        <v>277</v>
      </c>
      <c r="B279" s="4">
        <v>190307</v>
      </c>
      <c r="C279" s="4" t="s">
        <v>793</v>
      </c>
      <c r="D279" s="5">
        <v>121.516269929379</v>
      </c>
      <c r="E279" s="5">
        <v>31.3304425583465</v>
      </c>
      <c r="F279" s="6">
        <v>121.516263</v>
      </c>
      <c r="G279" s="6">
        <v>31.331266</v>
      </c>
      <c r="H279" s="7">
        <v>121.516276</v>
      </c>
      <c r="I279" s="7">
        <v>31.33097</v>
      </c>
      <c r="J279" s="14">
        <v>0.8</v>
      </c>
      <c r="K279" s="14">
        <v>645</v>
      </c>
      <c r="L279" s="15">
        <f t="shared" si="10"/>
        <v>1</v>
      </c>
      <c r="M279" s="15">
        <f t="shared" si="11"/>
        <v>1</v>
      </c>
      <c r="N279" s="14">
        <v>30</v>
      </c>
      <c r="O279" s="14">
        <v>120</v>
      </c>
      <c r="P279" s="13" t="s">
        <v>794</v>
      </c>
      <c r="Q279" s="13" t="s">
        <v>732</v>
      </c>
      <c r="R279" s="13" t="s">
        <v>795</v>
      </c>
      <c r="S279" s="13" t="s">
        <v>795</v>
      </c>
      <c r="T279" s="13" t="s">
        <v>26</v>
      </c>
      <c r="U279" s="13" t="s">
        <v>37</v>
      </c>
      <c r="V279" s="13">
        <v>2</v>
      </c>
    </row>
    <row r="280" spans="1:22">
      <c r="A280" s="3">
        <v>278</v>
      </c>
      <c r="B280" s="4">
        <v>190307</v>
      </c>
      <c r="C280" s="4" t="s">
        <v>796</v>
      </c>
      <c r="D280" s="5">
        <v>121.516444730796</v>
      </c>
      <c r="E280" s="5">
        <v>31.3316944975384</v>
      </c>
      <c r="F280" s="6">
        <v>121.516482</v>
      </c>
      <c r="G280" s="6">
        <v>31.331683</v>
      </c>
      <c r="H280" s="7">
        <v>121.516857</v>
      </c>
      <c r="I280" s="7">
        <v>31.33179</v>
      </c>
      <c r="J280" s="14">
        <v>0.8</v>
      </c>
      <c r="K280" s="14">
        <v>509</v>
      </c>
      <c r="L280" s="15">
        <f t="shared" si="10"/>
        <v>1</v>
      </c>
      <c r="M280" s="15">
        <f t="shared" si="11"/>
        <v>1</v>
      </c>
      <c r="N280" s="14">
        <v>30</v>
      </c>
      <c r="O280" s="14">
        <v>120</v>
      </c>
      <c r="P280" s="13" t="s">
        <v>797</v>
      </c>
      <c r="Q280" s="13" t="s">
        <v>732</v>
      </c>
      <c r="R280" s="13" t="s">
        <v>798</v>
      </c>
      <c r="S280" s="13" t="s">
        <v>798</v>
      </c>
      <c r="T280" s="13" t="s">
        <v>26</v>
      </c>
      <c r="U280" s="13" t="s">
        <v>37</v>
      </c>
      <c r="V280" s="13">
        <v>2</v>
      </c>
    </row>
    <row r="281" spans="1:22">
      <c r="A281" s="3">
        <v>279</v>
      </c>
      <c r="B281" s="4">
        <v>190309</v>
      </c>
      <c r="C281" s="4" t="s">
        <v>799</v>
      </c>
      <c r="D281" s="5">
        <v>121.530898284861</v>
      </c>
      <c r="E281" s="5">
        <v>31.2785412509095</v>
      </c>
      <c r="F281" s="6">
        <v>121.528859</v>
      </c>
      <c r="G281" s="6">
        <v>31.277467</v>
      </c>
      <c r="H281" s="7">
        <v>121.533517</v>
      </c>
      <c r="I281" s="7">
        <v>31.280029</v>
      </c>
      <c r="J281" s="14">
        <v>0.8</v>
      </c>
      <c r="K281" s="14">
        <v>1524</v>
      </c>
      <c r="L281" s="15">
        <f t="shared" si="10"/>
        <v>1</v>
      </c>
      <c r="M281" s="15">
        <f t="shared" si="11"/>
        <v>1</v>
      </c>
      <c r="N281" s="14">
        <v>80</v>
      </c>
      <c r="O281" s="14">
        <v>160</v>
      </c>
      <c r="P281" s="13" t="s">
        <v>800</v>
      </c>
      <c r="Q281" s="13" t="s">
        <v>732</v>
      </c>
      <c r="R281" s="13" t="s">
        <v>594</v>
      </c>
      <c r="S281" s="13" t="s">
        <v>181</v>
      </c>
      <c r="T281" s="13" t="s">
        <v>70</v>
      </c>
      <c r="U281" s="13" t="s">
        <v>31</v>
      </c>
      <c r="V281" s="13">
        <v>4</v>
      </c>
    </row>
    <row r="282" spans="1:22">
      <c r="A282" s="3">
        <v>280</v>
      </c>
      <c r="B282" s="4">
        <v>190307</v>
      </c>
      <c r="C282" s="4" t="s">
        <v>801</v>
      </c>
      <c r="D282" s="5">
        <v>121.522982482266</v>
      </c>
      <c r="E282" s="5">
        <v>31.3106777590495</v>
      </c>
      <c r="F282" s="6">
        <v>121.522977</v>
      </c>
      <c r="G282" s="6">
        <v>31.31071</v>
      </c>
      <c r="H282" s="7">
        <v>121.523107</v>
      </c>
      <c r="I282" s="7">
        <v>31.310476</v>
      </c>
      <c r="J282" s="14">
        <v>0.8</v>
      </c>
      <c r="K282" s="14">
        <v>1610</v>
      </c>
      <c r="L282" s="15">
        <f t="shared" si="10"/>
        <v>1</v>
      </c>
      <c r="M282" s="15">
        <f t="shared" si="11"/>
        <v>1</v>
      </c>
      <c r="N282" s="14">
        <v>30</v>
      </c>
      <c r="O282" s="14">
        <v>120</v>
      </c>
      <c r="P282" s="13" t="s">
        <v>802</v>
      </c>
      <c r="Q282" s="13" t="s">
        <v>732</v>
      </c>
      <c r="R282" s="13" t="s">
        <v>803</v>
      </c>
      <c r="S282" s="13" t="s">
        <v>803</v>
      </c>
      <c r="T282" s="13" t="s">
        <v>26</v>
      </c>
      <c r="U282" s="13" t="s">
        <v>37</v>
      </c>
      <c r="V282" s="13">
        <v>2</v>
      </c>
    </row>
    <row r="283" spans="1:22">
      <c r="A283" s="3">
        <v>281</v>
      </c>
      <c r="B283" s="4">
        <v>190310</v>
      </c>
      <c r="C283" s="4" t="s">
        <v>804</v>
      </c>
      <c r="D283" s="5">
        <v>121.510128064009</v>
      </c>
      <c r="E283" s="5">
        <v>31.3610744493211</v>
      </c>
      <c r="F283" s="6">
        <v>121.508014</v>
      </c>
      <c r="G283" s="6">
        <v>31.360029</v>
      </c>
      <c r="H283" s="7">
        <v>121.51862</v>
      </c>
      <c r="I283" s="7">
        <v>31.365527</v>
      </c>
      <c r="J283" s="14">
        <v>0.8</v>
      </c>
      <c r="K283" s="14">
        <v>335</v>
      </c>
      <c r="L283" s="15">
        <f t="shared" si="10"/>
        <v>1</v>
      </c>
      <c r="M283" s="15">
        <f t="shared" si="11"/>
        <v>1</v>
      </c>
      <c r="N283" s="14">
        <v>60</v>
      </c>
      <c r="O283" s="14">
        <v>140</v>
      </c>
      <c r="P283" s="13" t="s">
        <v>805</v>
      </c>
      <c r="Q283" s="13" t="s">
        <v>165</v>
      </c>
      <c r="R283" s="13" t="s">
        <v>804</v>
      </c>
      <c r="S283" s="13" t="s">
        <v>806</v>
      </c>
      <c r="T283" s="13" t="s">
        <v>70</v>
      </c>
      <c r="U283" s="13" t="s">
        <v>64</v>
      </c>
      <c r="V283" s="13">
        <v>4</v>
      </c>
    </row>
    <row r="284" spans="1:22">
      <c r="A284" s="3">
        <v>282</v>
      </c>
      <c r="B284" s="4">
        <v>190307</v>
      </c>
      <c r="C284" s="4" t="s">
        <v>807</v>
      </c>
      <c r="D284" s="5">
        <v>121.528449473105</v>
      </c>
      <c r="E284" s="5">
        <v>31.2922006021094</v>
      </c>
      <c r="F284" s="6">
        <v>121.528328</v>
      </c>
      <c r="G284" s="6">
        <v>31.292251</v>
      </c>
      <c r="H284" s="7">
        <v>121.528446</v>
      </c>
      <c r="I284" s="7">
        <v>31.292008</v>
      </c>
      <c r="J284" s="14">
        <v>0.8</v>
      </c>
      <c r="K284" s="14">
        <v>1343</v>
      </c>
      <c r="L284" s="15">
        <f t="shared" si="10"/>
        <v>1</v>
      </c>
      <c r="M284" s="15">
        <f t="shared" si="11"/>
        <v>1</v>
      </c>
      <c r="N284" s="14">
        <v>60</v>
      </c>
      <c r="O284" s="14">
        <v>140</v>
      </c>
      <c r="P284" s="13" t="s">
        <v>808</v>
      </c>
      <c r="Q284" s="13" t="s">
        <v>732</v>
      </c>
      <c r="R284" s="13" t="s">
        <v>792</v>
      </c>
      <c r="S284" s="13" t="s">
        <v>792</v>
      </c>
      <c r="T284" s="13" t="s">
        <v>26</v>
      </c>
      <c r="U284" s="13" t="s">
        <v>64</v>
      </c>
      <c r="V284" s="13">
        <v>4</v>
      </c>
    </row>
    <row r="285" spans="1:22">
      <c r="A285" s="3">
        <v>283</v>
      </c>
      <c r="B285" s="4">
        <v>190307</v>
      </c>
      <c r="C285" s="4" t="s">
        <v>809</v>
      </c>
      <c r="D285" s="5">
        <v>121.53387572485</v>
      </c>
      <c r="E285" s="5">
        <v>31.2721253505308</v>
      </c>
      <c r="F285" s="6">
        <v>121.533784</v>
      </c>
      <c r="G285" s="6">
        <v>31.272103</v>
      </c>
      <c r="H285" s="7">
        <v>121.534088</v>
      </c>
      <c r="I285" s="7">
        <v>31.272254</v>
      </c>
      <c r="J285" s="14">
        <v>0.8</v>
      </c>
      <c r="K285" s="14">
        <v>1365</v>
      </c>
      <c r="L285" s="15">
        <f t="shared" si="10"/>
        <v>1</v>
      </c>
      <c r="M285" s="15">
        <f t="shared" si="11"/>
        <v>1</v>
      </c>
      <c r="N285" s="14">
        <v>50</v>
      </c>
      <c r="O285" s="14">
        <v>120</v>
      </c>
      <c r="P285" s="13" t="s">
        <v>810</v>
      </c>
      <c r="Q285" s="13" t="s">
        <v>732</v>
      </c>
      <c r="R285" s="13" t="s">
        <v>811</v>
      </c>
      <c r="S285" s="13" t="s">
        <v>811</v>
      </c>
      <c r="T285" s="13" t="s">
        <v>26</v>
      </c>
      <c r="U285" s="13" t="s">
        <v>27</v>
      </c>
      <c r="V285" s="13">
        <v>2</v>
      </c>
    </row>
    <row r="286" spans="1:22">
      <c r="A286" s="3">
        <v>284</v>
      </c>
      <c r="B286" s="4">
        <v>190310</v>
      </c>
      <c r="C286" s="4" t="s">
        <v>812</v>
      </c>
      <c r="D286" s="5">
        <v>121.542845</v>
      </c>
      <c r="E286" s="5">
        <v>31.255962</v>
      </c>
      <c r="F286" s="6">
        <v>121.540017</v>
      </c>
      <c r="G286" s="6">
        <v>31.258788</v>
      </c>
      <c r="H286" s="7">
        <v>121.54475</v>
      </c>
      <c r="I286" s="7">
        <v>31.253107</v>
      </c>
      <c r="J286" s="14">
        <v>0.8</v>
      </c>
      <c r="K286" s="14">
        <v>983</v>
      </c>
      <c r="L286" s="15">
        <f t="shared" si="10"/>
        <v>1</v>
      </c>
      <c r="M286" s="15">
        <f t="shared" si="11"/>
        <v>1</v>
      </c>
      <c r="N286" s="14">
        <v>30</v>
      </c>
      <c r="O286" s="14">
        <v>120</v>
      </c>
      <c r="P286" s="13" t="s">
        <v>813</v>
      </c>
      <c r="Q286" s="13" t="s">
        <v>732</v>
      </c>
      <c r="R286" s="13" t="s">
        <v>812</v>
      </c>
      <c r="S286" s="13" t="s">
        <v>814</v>
      </c>
      <c r="T286" s="13" t="s">
        <v>70</v>
      </c>
      <c r="U286" s="13" t="s">
        <v>37</v>
      </c>
      <c r="V286" s="13">
        <v>2</v>
      </c>
    </row>
    <row r="287" spans="1:22">
      <c r="A287" s="3">
        <v>285</v>
      </c>
      <c r="B287" s="4">
        <v>190307</v>
      </c>
      <c r="C287" s="4" t="s">
        <v>815</v>
      </c>
      <c r="D287" s="5">
        <v>121.536246222468</v>
      </c>
      <c r="E287" s="5">
        <v>31.2689794138995</v>
      </c>
      <c r="F287" s="6">
        <v>121.536128</v>
      </c>
      <c r="G287" s="6">
        <v>31.268864</v>
      </c>
      <c r="H287" s="7">
        <v>121.536223</v>
      </c>
      <c r="I287" s="7">
        <v>31.268976</v>
      </c>
      <c r="J287" s="14">
        <v>0.8</v>
      </c>
      <c r="K287" s="14">
        <v>1339</v>
      </c>
      <c r="L287" s="15">
        <f t="shared" si="10"/>
        <v>1</v>
      </c>
      <c r="M287" s="15">
        <f t="shared" si="11"/>
        <v>1</v>
      </c>
      <c r="N287" s="14">
        <v>30</v>
      </c>
      <c r="O287" s="14">
        <v>120</v>
      </c>
      <c r="P287" s="13" t="s">
        <v>816</v>
      </c>
      <c r="Q287" s="13" t="s">
        <v>732</v>
      </c>
      <c r="R287" s="13" t="s">
        <v>815</v>
      </c>
      <c r="S287" s="13" t="s">
        <v>817</v>
      </c>
      <c r="T287" s="13" t="s">
        <v>26</v>
      </c>
      <c r="U287" s="13" t="s">
        <v>37</v>
      </c>
      <c r="V287" s="13">
        <v>2</v>
      </c>
    </row>
    <row r="288" spans="1:22">
      <c r="A288" s="3">
        <v>286</v>
      </c>
      <c r="B288" s="4">
        <v>190307</v>
      </c>
      <c r="C288" s="4" t="s">
        <v>818</v>
      </c>
      <c r="D288" s="5">
        <v>121.525876982138</v>
      </c>
      <c r="E288" s="5">
        <v>31.312067634501</v>
      </c>
      <c r="F288" s="6">
        <v>121.525882</v>
      </c>
      <c r="G288" s="6">
        <v>31.312208</v>
      </c>
      <c r="H288" s="7">
        <v>121.525887</v>
      </c>
      <c r="I288" s="7">
        <v>31.312406</v>
      </c>
      <c r="J288" s="14">
        <v>0.8</v>
      </c>
      <c r="K288" s="14">
        <v>1633</v>
      </c>
      <c r="L288" s="15">
        <f t="shared" si="10"/>
        <v>1</v>
      </c>
      <c r="M288" s="15">
        <f t="shared" si="11"/>
        <v>1</v>
      </c>
      <c r="N288" s="14">
        <v>30</v>
      </c>
      <c r="O288" s="14">
        <v>120</v>
      </c>
      <c r="P288" s="13" t="s">
        <v>819</v>
      </c>
      <c r="Q288" s="13" t="s">
        <v>732</v>
      </c>
      <c r="R288" s="13" t="s">
        <v>818</v>
      </c>
      <c r="S288" s="13" t="s">
        <v>818</v>
      </c>
      <c r="T288" s="13" t="s">
        <v>26</v>
      </c>
      <c r="U288" s="13" t="s">
        <v>37</v>
      </c>
      <c r="V288" s="13">
        <v>2</v>
      </c>
    </row>
    <row r="289" spans="1:22">
      <c r="A289" s="3">
        <v>287</v>
      </c>
      <c r="B289" s="4">
        <v>190307</v>
      </c>
      <c r="C289" s="4" t="s">
        <v>820</v>
      </c>
      <c r="D289" s="5">
        <v>121.53809396132</v>
      </c>
      <c r="E289" s="5">
        <v>31.2662094998577</v>
      </c>
      <c r="F289" s="6">
        <v>121.538056</v>
      </c>
      <c r="G289" s="6">
        <v>31.266235</v>
      </c>
      <c r="H289" s="7">
        <v>121.53814</v>
      </c>
      <c r="I289" s="7">
        <v>31.266289</v>
      </c>
      <c r="J289" s="14">
        <v>0.8</v>
      </c>
      <c r="K289" s="14">
        <v>1333</v>
      </c>
      <c r="L289" s="15">
        <f t="shared" si="10"/>
        <v>1</v>
      </c>
      <c r="M289" s="15">
        <f t="shared" si="11"/>
        <v>1</v>
      </c>
      <c r="N289" s="14">
        <v>50</v>
      </c>
      <c r="O289" s="14">
        <v>120</v>
      </c>
      <c r="P289" s="13" t="s">
        <v>821</v>
      </c>
      <c r="Q289" s="13" t="s">
        <v>732</v>
      </c>
      <c r="R289" s="13" t="s">
        <v>822</v>
      </c>
      <c r="S289" s="13" t="s">
        <v>822</v>
      </c>
      <c r="T289" s="13" t="s">
        <v>26</v>
      </c>
      <c r="U289" s="13" t="s">
        <v>27</v>
      </c>
      <c r="V289" s="13">
        <v>2</v>
      </c>
    </row>
    <row r="290" spans="1:22">
      <c r="A290" s="3">
        <v>288</v>
      </c>
      <c r="B290" s="4">
        <v>190310</v>
      </c>
      <c r="C290" s="4" t="s">
        <v>823</v>
      </c>
      <c r="D290" s="5">
        <v>121.543253554462</v>
      </c>
      <c r="E290" s="5">
        <v>31.2490694536259</v>
      </c>
      <c r="F290" s="6">
        <v>121.542199</v>
      </c>
      <c r="G290" s="6">
        <v>31.24876</v>
      </c>
      <c r="H290" s="7">
        <v>121.545608</v>
      </c>
      <c r="I290" s="7">
        <v>31.249828</v>
      </c>
      <c r="J290" s="14">
        <v>0.8</v>
      </c>
      <c r="K290" s="14">
        <v>1223</v>
      </c>
      <c r="L290" s="15">
        <f t="shared" si="10"/>
        <v>1</v>
      </c>
      <c r="M290" s="15">
        <f t="shared" si="11"/>
        <v>1</v>
      </c>
      <c r="N290" s="14">
        <v>30</v>
      </c>
      <c r="O290" s="14">
        <v>120</v>
      </c>
      <c r="P290" s="13" t="s">
        <v>824</v>
      </c>
      <c r="Q290" s="13" t="s">
        <v>487</v>
      </c>
      <c r="R290" s="13" t="s">
        <v>825</v>
      </c>
      <c r="S290" s="13" t="s">
        <v>823</v>
      </c>
      <c r="T290" s="13" t="s">
        <v>70</v>
      </c>
      <c r="U290" s="13" t="s">
        <v>37</v>
      </c>
      <c r="V290" s="13">
        <v>2</v>
      </c>
    </row>
    <row r="291" spans="1:22">
      <c r="A291" s="3">
        <v>289</v>
      </c>
      <c r="B291" s="4">
        <v>190310</v>
      </c>
      <c r="C291" s="4" t="s">
        <v>826</v>
      </c>
      <c r="D291" s="5">
        <v>121.510528297636</v>
      </c>
      <c r="E291" s="5">
        <v>31.3825170049499</v>
      </c>
      <c r="F291" s="6">
        <v>121.506967</v>
      </c>
      <c r="G291" s="6">
        <v>31.382069</v>
      </c>
      <c r="H291" s="7">
        <v>121.516945</v>
      </c>
      <c r="I291" s="7">
        <v>31.381966</v>
      </c>
      <c r="J291" s="14">
        <v>0.8</v>
      </c>
      <c r="K291" s="14">
        <v>854</v>
      </c>
      <c r="L291" s="15">
        <f t="shared" si="10"/>
        <v>1</v>
      </c>
      <c r="M291" s="15">
        <f t="shared" si="11"/>
        <v>1</v>
      </c>
      <c r="N291" s="14">
        <v>80</v>
      </c>
      <c r="O291" s="14">
        <v>160</v>
      </c>
      <c r="P291" s="13" t="s">
        <v>827</v>
      </c>
      <c r="Q291" s="13" t="s">
        <v>165</v>
      </c>
      <c r="R291" s="13" t="s">
        <v>826</v>
      </c>
      <c r="S291" s="13" t="s">
        <v>828</v>
      </c>
      <c r="T291" s="13" t="s">
        <v>70</v>
      </c>
      <c r="U291" s="13" t="s">
        <v>31</v>
      </c>
      <c r="V291" s="13">
        <v>4</v>
      </c>
    </row>
    <row r="292" spans="1:22">
      <c r="A292" s="3">
        <v>290</v>
      </c>
      <c r="B292" s="4">
        <v>190307</v>
      </c>
      <c r="C292" s="4" t="s">
        <v>829</v>
      </c>
      <c r="D292" s="5">
        <v>121.542074028626</v>
      </c>
      <c r="E292" s="5">
        <v>31.2620163867605</v>
      </c>
      <c r="F292" s="6">
        <v>121.541896</v>
      </c>
      <c r="G292" s="6">
        <v>31.261909</v>
      </c>
      <c r="H292" s="7">
        <v>121.542114</v>
      </c>
      <c r="I292" s="7">
        <v>31.262033</v>
      </c>
      <c r="J292" s="14">
        <v>0.8</v>
      </c>
      <c r="K292" s="14">
        <v>1155</v>
      </c>
      <c r="L292" s="15">
        <f t="shared" si="10"/>
        <v>1</v>
      </c>
      <c r="M292" s="15">
        <f t="shared" si="11"/>
        <v>1</v>
      </c>
      <c r="N292" s="14">
        <v>50</v>
      </c>
      <c r="O292" s="14">
        <v>120</v>
      </c>
      <c r="P292" s="13" t="s">
        <v>830</v>
      </c>
      <c r="Q292" s="13" t="s">
        <v>732</v>
      </c>
      <c r="R292" s="13" t="s">
        <v>831</v>
      </c>
      <c r="S292" s="13" t="s">
        <v>831</v>
      </c>
      <c r="T292" s="13" t="s">
        <v>26</v>
      </c>
      <c r="U292" s="13" t="s">
        <v>27</v>
      </c>
      <c r="V292" s="13">
        <v>2</v>
      </c>
    </row>
    <row r="293" spans="1:22">
      <c r="A293" s="3">
        <v>291</v>
      </c>
      <c r="B293" s="4">
        <v>190307</v>
      </c>
      <c r="C293" s="4" t="s">
        <v>832</v>
      </c>
      <c r="D293" s="5">
        <v>121.529183575603</v>
      </c>
      <c r="E293" s="5">
        <v>31.312289075665</v>
      </c>
      <c r="F293" s="6">
        <v>121.529182</v>
      </c>
      <c r="G293" s="6">
        <v>31.312171</v>
      </c>
      <c r="H293" s="7">
        <v>121.529183</v>
      </c>
      <c r="I293" s="7">
        <v>31.312445</v>
      </c>
      <c r="J293" s="14">
        <v>0.8</v>
      </c>
      <c r="K293" s="14">
        <v>1602</v>
      </c>
      <c r="L293" s="15">
        <f t="shared" si="10"/>
        <v>1</v>
      </c>
      <c r="M293" s="15">
        <f t="shared" si="11"/>
        <v>1</v>
      </c>
      <c r="N293" s="14">
        <v>30</v>
      </c>
      <c r="O293" s="14">
        <v>120</v>
      </c>
      <c r="P293" s="13" t="s">
        <v>833</v>
      </c>
      <c r="Q293" s="13" t="s">
        <v>732</v>
      </c>
      <c r="R293" s="13" t="s">
        <v>834</v>
      </c>
      <c r="S293" s="13" t="s">
        <v>834</v>
      </c>
      <c r="T293" s="13" t="s">
        <v>26</v>
      </c>
      <c r="U293" s="13" t="s">
        <v>37</v>
      </c>
      <c r="V293" s="13">
        <v>2</v>
      </c>
    </row>
    <row r="294" spans="1:22">
      <c r="A294" s="3">
        <v>292</v>
      </c>
      <c r="B294" s="4">
        <v>190307</v>
      </c>
      <c r="C294" s="4" t="s">
        <v>835</v>
      </c>
      <c r="D294" s="5">
        <v>121.534015785344</v>
      </c>
      <c r="E294" s="5">
        <v>31.2952328645584</v>
      </c>
      <c r="F294" s="6">
        <v>121.534224</v>
      </c>
      <c r="G294" s="6">
        <v>31.294712</v>
      </c>
      <c r="H294" s="7">
        <v>121.534071</v>
      </c>
      <c r="I294" s="7">
        <v>31.295093</v>
      </c>
      <c r="J294" s="14">
        <v>0.8</v>
      </c>
      <c r="K294" s="14">
        <v>1410</v>
      </c>
      <c r="L294" s="15">
        <f t="shared" si="10"/>
        <v>1</v>
      </c>
      <c r="M294" s="15">
        <f t="shared" si="11"/>
        <v>1</v>
      </c>
      <c r="N294" s="14">
        <v>30</v>
      </c>
      <c r="O294" s="14">
        <v>120</v>
      </c>
      <c r="P294" s="13" t="s">
        <v>836</v>
      </c>
      <c r="Q294" s="13" t="s">
        <v>732</v>
      </c>
      <c r="R294" s="13" t="s">
        <v>835</v>
      </c>
      <c r="S294" s="13" t="s">
        <v>837</v>
      </c>
      <c r="T294" s="13" t="s">
        <v>26</v>
      </c>
      <c r="U294" s="13" t="s">
        <v>37</v>
      </c>
      <c r="V294" s="13">
        <v>2</v>
      </c>
    </row>
    <row r="295" spans="1:22">
      <c r="A295" s="3">
        <v>293</v>
      </c>
      <c r="B295" s="4">
        <v>190307</v>
      </c>
      <c r="C295" s="4" t="s">
        <v>838</v>
      </c>
      <c r="D295" s="20" t="s">
        <v>839</v>
      </c>
      <c r="E295" s="5">
        <v>31.1836026164142</v>
      </c>
      <c r="F295" s="6">
        <v>121.563205</v>
      </c>
      <c r="G295" s="6">
        <v>31.184476</v>
      </c>
      <c r="H295" s="7">
        <v>121.56356</v>
      </c>
      <c r="I295" s="7">
        <v>31.183088</v>
      </c>
      <c r="J295" s="14">
        <v>0.8</v>
      </c>
      <c r="K295" s="14">
        <v>1100</v>
      </c>
      <c r="L295" s="15">
        <f t="shared" si="10"/>
        <v>1</v>
      </c>
      <c r="M295" s="15">
        <f t="shared" si="11"/>
        <v>1</v>
      </c>
      <c r="N295" s="14">
        <v>60</v>
      </c>
      <c r="O295" s="14">
        <v>140</v>
      </c>
      <c r="P295" s="13" t="s">
        <v>840</v>
      </c>
      <c r="Q295" s="13" t="s">
        <v>487</v>
      </c>
      <c r="R295" s="13" t="s">
        <v>841</v>
      </c>
      <c r="S295" s="13" t="s">
        <v>841</v>
      </c>
      <c r="T295" s="13" t="s">
        <v>26</v>
      </c>
      <c r="U295" s="13" t="s">
        <v>64</v>
      </c>
      <c r="V295" s="13">
        <v>4</v>
      </c>
    </row>
    <row r="296" spans="1:22">
      <c r="A296" s="3">
        <v>294</v>
      </c>
      <c r="B296" s="4">
        <v>190307</v>
      </c>
      <c r="C296" s="4" t="s">
        <v>842</v>
      </c>
      <c r="D296" s="5">
        <v>121.54115497181</v>
      </c>
      <c r="E296" s="5">
        <v>31.2988028309728</v>
      </c>
      <c r="F296" s="6">
        <v>121.541312</v>
      </c>
      <c r="G296" s="6">
        <v>31.298381</v>
      </c>
      <c r="H296" s="7">
        <v>121.541205</v>
      </c>
      <c r="I296" s="7">
        <v>31.298819</v>
      </c>
      <c r="J296" s="14">
        <v>0.8</v>
      </c>
      <c r="K296" s="14">
        <v>1283</v>
      </c>
      <c r="L296" s="15">
        <f t="shared" si="10"/>
        <v>1</v>
      </c>
      <c r="M296" s="15">
        <f t="shared" si="11"/>
        <v>1</v>
      </c>
      <c r="N296" s="14">
        <v>50</v>
      </c>
      <c r="O296" s="14">
        <v>120</v>
      </c>
      <c r="P296" s="13" t="s">
        <v>843</v>
      </c>
      <c r="Q296" s="13" t="s">
        <v>732</v>
      </c>
      <c r="R296" s="13" t="s">
        <v>844</v>
      </c>
      <c r="S296" s="13" t="s">
        <v>844</v>
      </c>
      <c r="T296" s="13" t="s">
        <v>26</v>
      </c>
      <c r="U296" s="13" t="s">
        <v>27</v>
      </c>
      <c r="V296" s="13">
        <v>2</v>
      </c>
    </row>
    <row r="297" spans="1:22">
      <c r="A297" s="3">
        <v>295</v>
      </c>
      <c r="B297" s="4">
        <v>190307</v>
      </c>
      <c r="C297" s="4" t="s">
        <v>845</v>
      </c>
      <c r="D297" s="5">
        <v>121.552259961236</v>
      </c>
      <c r="E297" s="5">
        <v>31.2612210199425</v>
      </c>
      <c r="F297" s="6">
        <v>121.547816</v>
      </c>
      <c r="G297" s="6">
        <v>31.264782</v>
      </c>
      <c r="H297" s="7">
        <v>121.556523</v>
      </c>
      <c r="I297" s="7">
        <v>31.257836</v>
      </c>
      <c r="J297" s="14">
        <v>0.8</v>
      </c>
      <c r="K297" s="14">
        <v>590</v>
      </c>
      <c r="L297" s="15">
        <f t="shared" si="10"/>
        <v>1</v>
      </c>
      <c r="M297" s="15">
        <f t="shared" si="11"/>
        <v>1</v>
      </c>
      <c r="N297" s="14">
        <v>80</v>
      </c>
      <c r="O297" s="14">
        <v>160</v>
      </c>
      <c r="P297" s="13" t="s">
        <v>846</v>
      </c>
      <c r="Q297" s="13" t="s">
        <v>732</v>
      </c>
      <c r="R297" s="13" t="s">
        <v>845</v>
      </c>
      <c r="S297" s="13" t="s">
        <v>308</v>
      </c>
      <c r="T297" s="13" t="s">
        <v>304</v>
      </c>
      <c r="U297" s="13" t="s">
        <v>31</v>
      </c>
      <c r="V297" s="13">
        <v>4</v>
      </c>
    </row>
    <row r="298" spans="1:22">
      <c r="A298" s="3">
        <v>296</v>
      </c>
      <c r="B298" s="4">
        <v>190306</v>
      </c>
      <c r="C298" s="4" t="s">
        <v>847</v>
      </c>
      <c r="D298" s="5">
        <v>121.547319717798</v>
      </c>
      <c r="E298" s="5">
        <v>31.2841547321163</v>
      </c>
      <c r="F298" s="6">
        <v>121.545656</v>
      </c>
      <c r="G298" s="6">
        <v>31.2836</v>
      </c>
      <c r="H298" s="7">
        <v>121.548789</v>
      </c>
      <c r="I298" s="7">
        <v>31.284898</v>
      </c>
      <c r="J298" s="14">
        <v>0.8</v>
      </c>
      <c r="K298" s="14">
        <v>1369</v>
      </c>
      <c r="L298" s="15">
        <f t="shared" si="10"/>
        <v>1</v>
      </c>
      <c r="M298" s="15">
        <f t="shared" si="11"/>
        <v>1</v>
      </c>
      <c r="N298" s="14">
        <v>80</v>
      </c>
      <c r="O298" s="14">
        <v>160</v>
      </c>
      <c r="P298" s="13" t="s">
        <v>848</v>
      </c>
      <c r="Q298" s="13" t="s">
        <v>732</v>
      </c>
      <c r="R298" s="13" t="s">
        <v>847</v>
      </c>
      <c r="S298" s="13" t="s">
        <v>700</v>
      </c>
      <c r="T298" s="13" t="s">
        <v>95</v>
      </c>
      <c r="U298" s="13" t="s">
        <v>31</v>
      </c>
      <c r="V298" s="13">
        <v>4</v>
      </c>
    </row>
    <row r="299" spans="1:22">
      <c r="A299" s="3">
        <v>297</v>
      </c>
      <c r="B299" s="4">
        <v>190307</v>
      </c>
      <c r="C299" s="4" t="s">
        <v>849</v>
      </c>
      <c r="D299" s="5">
        <v>121.535511359757</v>
      </c>
      <c r="E299" s="5">
        <v>31.3452559549473</v>
      </c>
      <c r="F299" s="6">
        <v>121.535652</v>
      </c>
      <c r="G299" s="6">
        <v>31.344472</v>
      </c>
      <c r="H299" s="7">
        <v>121.535593</v>
      </c>
      <c r="I299" s="7">
        <v>31.345155</v>
      </c>
      <c r="J299" s="14">
        <v>0.8</v>
      </c>
      <c r="K299" s="14">
        <v>186</v>
      </c>
      <c r="L299" s="15">
        <f t="shared" si="10"/>
        <v>1</v>
      </c>
      <c r="M299" s="15">
        <f t="shared" si="11"/>
        <v>1</v>
      </c>
      <c r="N299" s="14">
        <v>60</v>
      </c>
      <c r="O299" s="14">
        <v>140</v>
      </c>
      <c r="P299" s="13" t="s">
        <v>850</v>
      </c>
      <c r="Q299" s="13" t="s">
        <v>732</v>
      </c>
      <c r="R299" s="13" t="s">
        <v>849</v>
      </c>
      <c r="S299" s="13" t="s">
        <v>851</v>
      </c>
      <c r="T299" s="13" t="s">
        <v>26</v>
      </c>
      <c r="U299" s="13" t="s">
        <v>64</v>
      </c>
      <c r="V299" s="13">
        <v>4</v>
      </c>
    </row>
    <row r="300" spans="1:22">
      <c r="A300" s="3">
        <v>298</v>
      </c>
      <c r="B300" s="4">
        <v>190307</v>
      </c>
      <c r="C300" s="4" t="s">
        <v>852</v>
      </c>
      <c r="D300" s="5">
        <v>121.561420179382</v>
      </c>
      <c r="E300" s="5">
        <v>31.2465055013586</v>
      </c>
      <c r="F300" s="6">
        <v>121.560698</v>
      </c>
      <c r="G300" s="6">
        <v>31.246349</v>
      </c>
      <c r="H300" s="7">
        <v>121.561533</v>
      </c>
      <c r="I300" s="7">
        <v>31.246726</v>
      </c>
      <c r="J300" s="14">
        <v>0.8</v>
      </c>
      <c r="K300" s="14">
        <v>1437</v>
      </c>
      <c r="L300" s="15">
        <f t="shared" si="10"/>
        <v>1</v>
      </c>
      <c r="M300" s="15">
        <f t="shared" si="11"/>
        <v>1</v>
      </c>
      <c r="N300" s="14">
        <v>50</v>
      </c>
      <c r="O300" s="14">
        <v>120</v>
      </c>
      <c r="P300" s="13" t="s">
        <v>853</v>
      </c>
      <c r="Q300" s="13" t="s">
        <v>487</v>
      </c>
      <c r="R300" s="13" t="s">
        <v>854</v>
      </c>
      <c r="S300" s="13" t="s">
        <v>854</v>
      </c>
      <c r="T300" s="13" t="s">
        <v>26</v>
      </c>
      <c r="U300" s="13" t="s">
        <v>27</v>
      </c>
      <c r="V300" s="13">
        <v>2</v>
      </c>
    </row>
    <row r="301" spans="1:22">
      <c r="A301" s="3">
        <v>299</v>
      </c>
      <c r="B301" s="4">
        <v>190306</v>
      </c>
      <c r="C301" s="4" t="s">
        <v>855</v>
      </c>
      <c r="D301" s="5">
        <v>121.538627628804</v>
      </c>
      <c r="E301" s="5">
        <v>31.3376703763002</v>
      </c>
      <c r="F301" s="6">
        <v>121.539011</v>
      </c>
      <c r="G301" s="6">
        <v>31.337638</v>
      </c>
      <c r="H301" s="7">
        <v>121.537979</v>
      </c>
      <c r="I301" s="7">
        <v>31.337674</v>
      </c>
      <c r="J301" s="14">
        <v>0.8</v>
      </c>
      <c r="K301" s="14">
        <v>901</v>
      </c>
      <c r="L301" s="15">
        <f t="shared" si="10"/>
        <v>1</v>
      </c>
      <c r="M301" s="15">
        <f t="shared" si="11"/>
        <v>1</v>
      </c>
      <c r="N301" s="14">
        <v>80</v>
      </c>
      <c r="O301" s="14">
        <v>160</v>
      </c>
      <c r="P301" s="13" t="s">
        <v>856</v>
      </c>
      <c r="Q301" s="13" t="s">
        <v>732</v>
      </c>
      <c r="R301" s="13" t="s">
        <v>855</v>
      </c>
      <c r="S301" s="13" t="s">
        <v>857</v>
      </c>
      <c r="T301" s="13" t="s">
        <v>95</v>
      </c>
      <c r="U301" s="13" t="s">
        <v>31</v>
      </c>
      <c r="V301" s="13">
        <v>4</v>
      </c>
    </row>
    <row r="302" spans="1:22">
      <c r="A302" s="3">
        <v>300</v>
      </c>
      <c r="B302" s="4">
        <v>190307</v>
      </c>
      <c r="C302" s="4" t="s">
        <v>858</v>
      </c>
      <c r="D302" s="5">
        <v>121.537436759558</v>
      </c>
      <c r="E302" s="5">
        <v>31.3451478575708</v>
      </c>
      <c r="F302" s="6">
        <v>121.537544</v>
      </c>
      <c r="G302" s="6">
        <v>31.345242</v>
      </c>
      <c r="H302" s="7">
        <v>121.538025</v>
      </c>
      <c r="I302" s="7">
        <v>31.345039</v>
      </c>
      <c r="J302" s="14">
        <v>0.8</v>
      </c>
      <c r="K302" s="14">
        <v>204</v>
      </c>
      <c r="L302" s="15">
        <f t="shared" si="10"/>
        <v>1</v>
      </c>
      <c r="M302" s="15">
        <f t="shared" si="11"/>
        <v>1</v>
      </c>
      <c r="N302" s="14">
        <v>60</v>
      </c>
      <c r="O302" s="14">
        <v>140</v>
      </c>
      <c r="P302" s="13" t="s">
        <v>859</v>
      </c>
      <c r="Q302" s="13" t="s">
        <v>732</v>
      </c>
      <c r="R302" s="13" t="s">
        <v>858</v>
      </c>
      <c r="S302" s="13" t="s">
        <v>860</v>
      </c>
      <c r="T302" s="13" t="s">
        <v>26</v>
      </c>
      <c r="U302" s="13" t="s">
        <v>64</v>
      </c>
      <c r="V302" s="13">
        <v>4</v>
      </c>
    </row>
    <row r="303" spans="1:22">
      <c r="A303" s="3">
        <v>301</v>
      </c>
      <c r="B303" s="4">
        <v>190307</v>
      </c>
      <c r="C303" s="4" t="s">
        <v>861</v>
      </c>
      <c r="D303" s="5">
        <v>121.545121320901</v>
      </c>
      <c r="E303" s="5">
        <v>31.3152422470855</v>
      </c>
      <c r="F303" s="6">
        <v>121.545107</v>
      </c>
      <c r="G303" s="6">
        <v>31.315633</v>
      </c>
      <c r="H303" s="7">
        <v>121.545112</v>
      </c>
      <c r="I303" s="7">
        <v>31.315188</v>
      </c>
      <c r="J303" s="14">
        <v>0.8</v>
      </c>
      <c r="K303" s="14">
        <v>1148</v>
      </c>
      <c r="L303" s="15">
        <f t="shared" si="10"/>
        <v>1</v>
      </c>
      <c r="M303" s="15">
        <f t="shared" si="11"/>
        <v>1</v>
      </c>
      <c r="N303" s="14">
        <v>30</v>
      </c>
      <c r="O303" s="14">
        <v>120</v>
      </c>
      <c r="P303" s="13" t="s">
        <v>862</v>
      </c>
      <c r="Q303" s="13" t="s">
        <v>732</v>
      </c>
      <c r="R303" s="13" t="s">
        <v>863</v>
      </c>
      <c r="S303" s="13" t="s">
        <v>863</v>
      </c>
      <c r="T303" s="13" t="s">
        <v>26</v>
      </c>
      <c r="U303" s="13" t="s">
        <v>37</v>
      </c>
      <c r="V303" s="13">
        <v>2</v>
      </c>
    </row>
    <row r="304" spans="1:22">
      <c r="A304" s="3">
        <v>302</v>
      </c>
      <c r="B304" s="4">
        <v>190307</v>
      </c>
      <c r="C304" s="4" t="s">
        <v>864</v>
      </c>
      <c r="D304" s="5">
        <v>121.546809530905</v>
      </c>
      <c r="E304" s="5">
        <v>31.309366595888</v>
      </c>
      <c r="F304" s="6">
        <v>121.545956</v>
      </c>
      <c r="G304" s="6">
        <v>31.308774</v>
      </c>
      <c r="H304" s="7">
        <v>121.546339</v>
      </c>
      <c r="I304" s="7">
        <v>31.30903</v>
      </c>
      <c r="J304" s="14">
        <v>0.8</v>
      </c>
      <c r="K304" s="14">
        <v>1081</v>
      </c>
      <c r="L304" s="15">
        <f t="shared" si="10"/>
        <v>1</v>
      </c>
      <c r="M304" s="15">
        <f t="shared" si="11"/>
        <v>1</v>
      </c>
      <c r="N304" s="14">
        <v>30</v>
      </c>
      <c r="O304" s="14">
        <v>120</v>
      </c>
      <c r="P304" s="13" t="s">
        <v>865</v>
      </c>
      <c r="Q304" s="13" t="s">
        <v>732</v>
      </c>
      <c r="R304" s="13" t="s">
        <v>866</v>
      </c>
      <c r="S304" s="13" t="s">
        <v>866</v>
      </c>
      <c r="T304" s="13" t="s">
        <v>26</v>
      </c>
      <c r="U304" s="13" t="s">
        <v>37</v>
      </c>
      <c r="V304" s="13">
        <v>2</v>
      </c>
    </row>
    <row r="305" spans="1:22">
      <c r="A305" s="3">
        <v>303</v>
      </c>
      <c r="B305" s="4">
        <v>190307</v>
      </c>
      <c r="C305" s="4" t="s">
        <v>867</v>
      </c>
      <c r="D305" s="5">
        <v>121.548818017264</v>
      </c>
      <c r="E305" s="5">
        <v>31.3027536488859</v>
      </c>
      <c r="F305" s="6">
        <v>121.548655</v>
      </c>
      <c r="G305" s="6">
        <v>31.302931</v>
      </c>
      <c r="H305" s="7">
        <v>121.548347</v>
      </c>
      <c r="I305" s="7">
        <v>31.303244</v>
      </c>
      <c r="J305" s="14">
        <v>0.8</v>
      </c>
      <c r="K305" s="14">
        <v>1136</v>
      </c>
      <c r="L305" s="15">
        <f t="shared" si="10"/>
        <v>1</v>
      </c>
      <c r="M305" s="15">
        <f t="shared" si="11"/>
        <v>1</v>
      </c>
      <c r="N305" s="14">
        <v>30</v>
      </c>
      <c r="O305" s="14">
        <v>120</v>
      </c>
      <c r="P305" s="13" t="s">
        <v>868</v>
      </c>
      <c r="Q305" s="13" t="s">
        <v>732</v>
      </c>
      <c r="R305" s="13" t="s">
        <v>867</v>
      </c>
      <c r="S305" s="13" t="s">
        <v>869</v>
      </c>
      <c r="T305" s="13" t="s">
        <v>26</v>
      </c>
      <c r="U305" s="13" t="s">
        <v>37</v>
      </c>
      <c r="V305" s="13">
        <v>2</v>
      </c>
    </row>
    <row r="306" spans="1:22">
      <c r="A306" s="3">
        <v>304</v>
      </c>
      <c r="B306" s="4">
        <v>190307</v>
      </c>
      <c r="C306" s="4" t="s">
        <v>870</v>
      </c>
      <c r="D306" s="5">
        <v>121.549677475688</v>
      </c>
      <c r="E306" s="5">
        <v>31.3068219770642</v>
      </c>
      <c r="F306" s="6">
        <v>121.549615</v>
      </c>
      <c r="G306" s="6">
        <v>31.306757</v>
      </c>
      <c r="H306" s="7">
        <v>121.54987</v>
      </c>
      <c r="I306" s="7">
        <v>31.306874</v>
      </c>
      <c r="J306" s="14">
        <v>0.8</v>
      </c>
      <c r="K306" s="14">
        <v>988</v>
      </c>
      <c r="L306" s="15">
        <f t="shared" si="10"/>
        <v>1</v>
      </c>
      <c r="M306" s="15">
        <f t="shared" si="11"/>
        <v>1</v>
      </c>
      <c r="N306" s="14">
        <v>30</v>
      </c>
      <c r="O306" s="14">
        <v>120</v>
      </c>
      <c r="P306" s="13" t="s">
        <v>871</v>
      </c>
      <c r="Q306" s="13" t="s">
        <v>732</v>
      </c>
      <c r="R306" s="13" t="s">
        <v>872</v>
      </c>
      <c r="S306" s="13" t="s">
        <v>872</v>
      </c>
      <c r="T306" s="13" t="s">
        <v>26</v>
      </c>
      <c r="U306" s="13" t="s">
        <v>37</v>
      </c>
      <c r="V306" s="13">
        <v>2</v>
      </c>
    </row>
    <row r="307" spans="1:22">
      <c r="A307" s="3">
        <v>305</v>
      </c>
      <c r="B307" s="4">
        <v>190307</v>
      </c>
      <c r="C307" s="4" t="s">
        <v>873</v>
      </c>
      <c r="D307" s="5">
        <v>121.563336328356</v>
      </c>
      <c r="E307" s="5">
        <v>31.2572832179632</v>
      </c>
      <c r="F307" s="6">
        <v>121.56349</v>
      </c>
      <c r="G307" s="6">
        <v>31.257112</v>
      </c>
      <c r="H307" s="7">
        <v>121.563711</v>
      </c>
      <c r="I307" s="7">
        <v>31.256904</v>
      </c>
      <c r="J307" s="14">
        <v>0.8</v>
      </c>
      <c r="K307" s="14">
        <v>1196</v>
      </c>
      <c r="L307" s="15">
        <f t="shared" si="10"/>
        <v>1</v>
      </c>
      <c r="M307" s="15">
        <f t="shared" si="11"/>
        <v>1</v>
      </c>
      <c r="N307" s="14">
        <v>30</v>
      </c>
      <c r="O307" s="14">
        <v>120</v>
      </c>
      <c r="P307" s="13" t="s">
        <v>874</v>
      </c>
      <c r="Q307" s="13" t="s">
        <v>487</v>
      </c>
      <c r="R307" s="13" t="s">
        <v>873</v>
      </c>
      <c r="S307" s="13" t="s">
        <v>873</v>
      </c>
      <c r="T307" s="13" t="s">
        <v>26</v>
      </c>
      <c r="U307" s="13" t="s">
        <v>37</v>
      </c>
      <c r="V307" s="13">
        <v>2</v>
      </c>
    </row>
    <row r="308" spans="1:22">
      <c r="A308" s="3">
        <v>306</v>
      </c>
      <c r="B308" s="4">
        <v>190306</v>
      </c>
      <c r="C308" s="4" t="s">
        <v>875</v>
      </c>
      <c r="D308" s="5">
        <v>121.55266019671</v>
      </c>
      <c r="E308" s="5">
        <v>31.3132409161369</v>
      </c>
      <c r="F308" s="6">
        <v>121.551194</v>
      </c>
      <c r="G308" s="6">
        <v>31.312955</v>
      </c>
      <c r="H308" s="7">
        <v>121.554278</v>
      </c>
      <c r="I308" s="7">
        <v>31.313198</v>
      </c>
      <c r="J308" s="14">
        <v>0.8</v>
      </c>
      <c r="K308" s="14">
        <v>794</v>
      </c>
      <c r="L308" s="15">
        <f t="shared" si="10"/>
        <v>1</v>
      </c>
      <c r="M308" s="15">
        <f t="shared" si="11"/>
        <v>1</v>
      </c>
      <c r="N308" s="14">
        <v>80</v>
      </c>
      <c r="O308" s="14">
        <v>160</v>
      </c>
      <c r="P308" s="13" t="s">
        <v>876</v>
      </c>
      <c r="Q308" s="13" t="s">
        <v>732</v>
      </c>
      <c r="R308" s="13" t="s">
        <v>875</v>
      </c>
      <c r="S308" s="13" t="s">
        <v>877</v>
      </c>
      <c r="T308" s="13" t="s">
        <v>95</v>
      </c>
      <c r="U308" s="13" t="s">
        <v>31</v>
      </c>
      <c r="V308" s="13">
        <v>4</v>
      </c>
    </row>
    <row r="309" spans="1:22">
      <c r="A309" s="3">
        <v>307</v>
      </c>
      <c r="B309" s="4">
        <v>190306</v>
      </c>
      <c r="C309" s="4" t="s">
        <v>878</v>
      </c>
      <c r="D309" s="5">
        <v>121.572479262576</v>
      </c>
      <c r="E309" s="5">
        <v>31.2427022568844</v>
      </c>
      <c r="F309" s="6">
        <v>121.573266</v>
      </c>
      <c r="G309" s="6">
        <v>31.241551</v>
      </c>
      <c r="H309" s="7">
        <v>121.572397</v>
      </c>
      <c r="I309" s="7">
        <v>31.243309</v>
      </c>
      <c r="J309" s="14">
        <v>0.8</v>
      </c>
      <c r="K309" s="14">
        <v>1089</v>
      </c>
      <c r="L309" s="15">
        <f t="shared" si="10"/>
        <v>1</v>
      </c>
      <c r="M309" s="15">
        <f t="shared" si="11"/>
        <v>1</v>
      </c>
      <c r="N309" s="14">
        <v>80</v>
      </c>
      <c r="O309" s="14">
        <v>160</v>
      </c>
      <c r="P309" s="13" t="s">
        <v>879</v>
      </c>
      <c r="Q309" s="13" t="s">
        <v>487</v>
      </c>
      <c r="R309" s="13" t="s">
        <v>878</v>
      </c>
      <c r="S309" s="13" t="s">
        <v>308</v>
      </c>
      <c r="T309" s="13" t="s">
        <v>95</v>
      </c>
      <c r="U309" s="13" t="s">
        <v>31</v>
      </c>
      <c r="V309" s="13">
        <v>4</v>
      </c>
    </row>
    <row r="310" spans="1:22">
      <c r="A310" s="3">
        <v>308</v>
      </c>
      <c r="B310" s="4">
        <v>190306</v>
      </c>
      <c r="C310" s="4" t="s">
        <v>880</v>
      </c>
      <c r="D310" s="20" t="s">
        <v>881</v>
      </c>
      <c r="E310" s="20" t="s">
        <v>882</v>
      </c>
      <c r="F310" s="6">
        <v>121.577692</v>
      </c>
      <c r="G310" s="6">
        <v>31.213251</v>
      </c>
      <c r="H310" s="7">
        <v>121.584576</v>
      </c>
      <c r="I310" s="7">
        <v>31.216379</v>
      </c>
      <c r="J310" s="14">
        <v>0.8</v>
      </c>
      <c r="K310" s="14">
        <v>191</v>
      </c>
      <c r="L310" s="15">
        <f t="shared" ref="L310:L334" si="12">IF(AND(J310&lt;=0.2),4,IF(AND(J310&gt;0.2,J310&lt;=0.4),3,IF(AND(J310&gt;0.4,J310&lt;=0.7),2,IF(AND(J310&gt;0.7,J310&lt;=1),1,"其他"))))</f>
        <v>1</v>
      </c>
      <c r="M310" s="15">
        <f t="shared" ref="M310:M334" si="13">IF(AND(L310&lt;=1),1,IF(AND(L310&gt;1),2,"其他"))</f>
        <v>1</v>
      </c>
      <c r="N310" s="14">
        <v>80</v>
      </c>
      <c r="O310" s="14">
        <v>160</v>
      </c>
      <c r="P310" s="13" t="s">
        <v>883</v>
      </c>
      <c r="Q310" s="13" t="s">
        <v>487</v>
      </c>
      <c r="R310" s="13" t="s">
        <v>880</v>
      </c>
      <c r="S310" s="13" t="s">
        <v>884</v>
      </c>
      <c r="T310" s="13" t="s">
        <v>95</v>
      </c>
      <c r="U310" s="13" t="s">
        <v>31</v>
      </c>
      <c r="V310" s="13">
        <v>4</v>
      </c>
    </row>
    <row r="311" spans="1:22">
      <c r="A311" s="3">
        <v>309</v>
      </c>
      <c r="B311" s="4">
        <v>190307</v>
      </c>
      <c r="C311" s="4" t="s">
        <v>885</v>
      </c>
      <c r="D311" s="5">
        <v>121.544423899383</v>
      </c>
      <c r="E311" s="5">
        <v>31.3603431832243</v>
      </c>
      <c r="F311" s="6">
        <v>121.544524</v>
      </c>
      <c r="G311" s="6">
        <v>31.36058</v>
      </c>
      <c r="H311" s="7">
        <v>121.544528</v>
      </c>
      <c r="I311" s="7">
        <v>31.360899</v>
      </c>
      <c r="J311" s="14">
        <v>0.8</v>
      </c>
      <c r="K311" s="14">
        <v>180</v>
      </c>
      <c r="L311" s="15">
        <f t="shared" si="12"/>
        <v>1</v>
      </c>
      <c r="M311" s="15">
        <f t="shared" si="13"/>
        <v>1</v>
      </c>
      <c r="N311" s="14">
        <v>60</v>
      </c>
      <c r="O311" s="14">
        <v>140</v>
      </c>
      <c r="P311" s="13" t="s">
        <v>886</v>
      </c>
      <c r="Q311" s="13" t="s">
        <v>487</v>
      </c>
      <c r="R311" s="13" t="s">
        <v>887</v>
      </c>
      <c r="S311" s="13" t="s">
        <v>887</v>
      </c>
      <c r="T311" s="13" t="s">
        <v>26</v>
      </c>
      <c r="U311" s="13" t="s">
        <v>64</v>
      </c>
      <c r="V311" s="13">
        <v>4</v>
      </c>
    </row>
    <row r="312" spans="1:22">
      <c r="A312" s="3">
        <v>310</v>
      </c>
      <c r="B312" s="4">
        <v>190307</v>
      </c>
      <c r="C312" s="4" t="s">
        <v>888</v>
      </c>
      <c r="D312" s="5">
        <v>121.566969554354</v>
      </c>
      <c r="E312" s="5">
        <v>31.2775087709896</v>
      </c>
      <c r="F312" s="6">
        <v>121.566493</v>
      </c>
      <c r="G312" s="6">
        <v>31.277577</v>
      </c>
      <c r="H312" s="7">
        <v>121.567365</v>
      </c>
      <c r="I312" s="7">
        <v>31.277517</v>
      </c>
      <c r="J312" s="14">
        <v>0.8</v>
      </c>
      <c r="K312" s="14">
        <v>426</v>
      </c>
      <c r="L312" s="15">
        <f t="shared" si="12"/>
        <v>1</v>
      </c>
      <c r="M312" s="15">
        <f t="shared" si="13"/>
        <v>1</v>
      </c>
      <c r="N312" s="14">
        <v>30</v>
      </c>
      <c r="O312" s="14">
        <v>120</v>
      </c>
      <c r="P312" s="13" t="s">
        <v>889</v>
      </c>
      <c r="Q312" s="13" t="s">
        <v>732</v>
      </c>
      <c r="R312" s="13" t="s">
        <v>888</v>
      </c>
      <c r="S312" s="13" t="s">
        <v>890</v>
      </c>
      <c r="T312" s="13" t="s">
        <v>26</v>
      </c>
      <c r="U312" s="13" t="s">
        <v>37</v>
      </c>
      <c r="V312" s="13">
        <v>2</v>
      </c>
    </row>
    <row r="313" spans="1:22">
      <c r="A313" s="3">
        <v>311</v>
      </c>
      <c r="B313" s="4">
        <v>190307</v>
      </c>
      <c r="C313" s="4" t="s">
        <v>891</v>
      </c>
      <c r="D313" s="5">
        <v>121.565462884986</v>
      </c>
      <c r="E313" s="5">
        <v>31.2971512688893</v>
      </c>
      <c r="F313" s="6">
        <v>121.565071</v>
      </c>
      <c r="G313" s="6">
        <v>31.297064</v>
      </c>
      <c r="H313" s="7">
        <v>121.565617</v>
      </c>
      <c r="I313" s="7">
        <v>31.297145</v>
      </c>
      <c r="J313" s="14">
        <v>0.8</v>
      </c>
      <c r="K313" s="14">
        <v>402</v>
      </c>
      <c r="L313" s="15">
        <f t="shared" si="12"/>
        <v>1</v>
      </c>
      <c r="M313" s="15">
        <f t="shared" si="13"/>
        <v>1</v>
      </c>
      <c r="N313" s="14">
        <v>30</v>
      </c>
      <c r="O313" s="14">
        <v>120</v>
      </c>
      <c r="P313" s="13" t="s">
        <v>892</v>
      </c>
      <c r="Q313" s="13" t="s">
        <v>732</v>
      </c>
      <c r="R313" s="13" t="s">
        <v>893</v>
      </c>
      <c r="S313" s="13" t="s">
        <v>893</v>
      </c>
      <c r="T313" s="13" t="s">
        <v>26</v>
      </c>
      <c r="U313" s="13" t="s">
        <v>37</v>
      </c>
      <c r="V313" s="13">
        <v>2</v>
      </c>
    </row>
    <row r="314" spans="1:22">
      <c r="A314" s="3">
        <v>312</v>
      </c>
      <c r="B314" s="4">
        <v>190310</v>
      </c>
      <c r="C314" s="4" t="s">
        <v>894</v>
      </c>
      <c r="D314" s="5">
        <v>121.570519901283</v>
      </c>
      <c r="E314" s="5">
        <v>31.2784442791315</v>
      </c>
      <c r="F314" s="6">
        <v>121.568231</v>
      </c>
      <c r="G314" s="6">
        <v>31.28036</v>
      </c>
      <c r="H314" s="7">
        <v>121.576204</v>
      </c>
      <c r="I314" s="7">
        <v>31.273397</v>
      </c>
      <c r="J314" s="14">
        <v>0.8</v>
      </c>
      <c r="K314" s="14">
        <v>358</v>
      </c>
      <c r="L314" s="15">
        <f t="shared" si="12"/>
        <v>1</v>
      </c>
      <c r="M314" s="15">
        <f t="shared" si="13"/>
        <v>1</v>
      </c>
      <c r="N314" s="14">
        <v>80</v>
      </c>
      <c r="O314" s="14">
        <v>160</v>
      </c>
      <c r="P314" s="13" t="s">
        <v>895</v>
      </c>
      <c r="Q314" s="13" t="s">
        <v>732</v>
      </c>
      <c r="R314" s="13" t="s">
        <v>894</v>
      </c>
      <c r="S314" s="13" t="s">
        <v>127</v>
      </c>
      <c r="T314" s="13" t="s">
        <v>70</v>
      </c>
      <c r="U314" s="13" t="s">
        <v>31</v>
      </c>
      <c r="V314" s="13">
        <v>4</v>
      </c>
    </row>
    <row r="315" spans="1:22">
      <c r="A315" s="3">
        <v>313</v>
      </c>
      <c r="B315" s="4">
        <v>190310</v>
      </c>
      <c r="C315" s="4" t="s">
        <v>896</v>
      </c>
      <c r="D315" s="5">
        <v>121.569714212924</v>
      </c>
      <c r="E315" s="5">
        <v>31.2953051958559</v>
      </c>
      <c r="F315" s="6">
        <v>121.568198</v>
      </c>
      <c r="G315" s="6">
        <v>31.295413</v>
      </c>
      <c r="H315" s="7">
        <v>121.576711</v>
      </c>
      <c r="I315" s="7">
        <v>31.297869</v>
      </c>
      <c r="J315" s="14">
        <v>0.8</v>
      </c>
      <c r="K315" s="14">
        <v>272</v>
      </c>
      <c r="L315" s="15">
        <f t="shared" si="12"/>
        <v>1</v>
      </c>
      <c r="M315" s="15">
        <f t="shared" si="13"/>
        <v>1</v>
      </c>
      <c r="N315" s="14">
        <v>60</v>
      </c>
      <c r="O315" s="14">
        <v>140</v>
      </c>
      <c r="P315" s="13" t="s">
        <v>897</v>
      </c>
      <c r="Q315" s="13" t="s">
        <v>732</v>
      </c>
      <c r="R315" s="13" t="s">
        <v>896</v>
      </c>
      <c r="S315" s="13" t="s">
        <v>898</v>
      </c>
      <c r="T315" s="13" t="s">
        <v>70</v>
      </c>
      <c r="U315" s="13" t="s">
        <v>64</v>
      </c>
      <c r="V315" s="13">
        <v>4</v>
      </c>
    </row>
    <row r="316" spans="1:22">
      <c r="A316" s="3">
        <v>314</v>
      </c>
      <c r="B316" s="4">
        <v>190310</v>
      </c>
      <c r="C316" s="4" t="s">
        <v>899</v>
      </c>
      <c r="D316" s="5">
        <v>121.572496480121</v>
      </c>
      <c r="E316" s="5">
        <v>31.3088472918812</v>
      </c>
      <c r="F316" s="6">
        <v>121.556327</v>
      </c>
      <c r="G316" s="6">
        <v>31.312923</v>
      </c>
      <c r="H316" s="7">
        <v>121.58296</v>
      </c>
      <c r="I316" s="7">
        <v>31.309944</v>
      </c>
      <c r="J316" s="14">
        <v>0.8</v>
      </c>
      <c r="K316" s="14">
        <v>26</v>
      </c>
      <c r="L316" s="15">
        <f t="shared" si="12"/>
        <v>1</v>
      </c>
      <c r="M316" s="15">
        <f t="shared" si="13"/>
        <v>1</v>
      </c>
      <c r="N316" s="14">
        <v>80</v>
      </c>
      <c r="O316" s="14">
        <v>160</v>
      </c>
      <c r="P316" s="13" t="s">
        <v>900</v>
      </c>
      <c r="Q316" s="13" t="s">
        <v>487</v>
      </c>
      <c r="R316" s="13" t="s">
        <v>899</v>
      </c>
      <c r="S316" s="13" t="s">
        <v>899</v>
      </c>
      <c r="T316" s="13" t="s">
        <v>70</v>
      </c>
      <c r="U316" s="13" t="s">
        <v>31</v>
      </c>
      <c r="V316" s="13">
        <v>4</v>
      </c>
    </row>
    <row r="317" spans="1:22">
      <c r="A317" s="3">
        <v>315</v>
      </c>
      <c r="B317" s="4">
        <v>190307</v>
      </c>
      <c r="C317" s="4" t="s">
        <v>901</v>
      </c>
      <c r="D317" s="5">
        <v>121.593057080302</v>
      </c>
      <c r="E317" s="20" t="s">
        <v>902</v>
      </c>
      <c r="F317" s="6">
        <v>121.592928</v>
      </c>
      <c r="G317" s="6">
        <v>31.232076</v>
      </c>
      <c r="H317" s="7">
        <v>121.593223</v>
      </c>
      <c r="I317" s="7">
        <v>31.231487</v>
      </c>
      <c r="J317" s="14">
        <v>0.8</v>
      </c>
      <c r="K317" s="14">
        <v>70</v>
      </c>
      <c r="L317" s="15">
        <f t="shared" si="12"/>
        <v>1</v>
      </c>
      <c r="M317" s="15">
        <f t="shared" si="13"/>
        <v>1</v>
      </c>
      <c r="N317" s="14">
        <v>50</v>
      </c>
      <c r="O317" s="14">
        <v>120</v>
      </c>
      <c r="P317" s="13" t="s">
        <v>903</v>
      </c>
      <c r="Q317" s="13" t="s">
        <v>487</v>
      </c>
      <c r="R317" s="13" t="s">
        <v>904</v>
      </c>
      <c r="S317" s="13" t="s">
        <v>904</v>
      </c>
      <c r="T317" s="13" t="s">
        <v>26</v>
      </c>
      <c r="U317" s="13" t="s">
        <v>27</v>
      </c>
      <c r="V317" s="13">
        <v>2</v>
      </c>
    </row>
    <row r="318" spans="1:22">
      <c r="A318" s="3">
        <v>316</v>
      </c>
      <c r="B318" s="4">
        <v>190307</v>
      </c>
      <c r="C318" s="4" t="s">
        <v>905</v>
      </c>
      <c r="D318" s="5">
        <v>121.58207876083</v>
      </c>
      <c r="E318" s="5">
        <v>31.2768503077038</v>
      </c>
      <c r="F318" s="6">
        <v>121.581835</v>
      </c>
      <c r="G318" s="6">
        <v>31.276499</v>
      </c>
      <c r="H318" s="7">
        <v>121.582029</v>
      </c>
      <c r="I318" s="7">
        <v>31.276832</v>
      </c>
      <c r="J318" s="14">
        <v>0.8</v>
      </c>
      <c r="K318" s="14">
        <v>825</v>
      </c>
      <c r="L318" s="15">
        <f t="shared" si="12"/>
        <v>1</v>
      </c>
      <c r="M318" s="15">
        <f t="shared" si="13"/>
        <v>1</v>
      </c>
      <c r="N318" s="14">
        <v>60</v>
      </c>
      <c r="O318" s="14">
        <v>140</v>
      </c>
      <c r="P318" s="13" t="s">
        <v>906</v>
      </c>
      <c r="Q318" s="13" t="s">
        <v>487</v>
      </c>
      <c r="R318" s="13" t="s">
        <v>825</v>
      </c>
      <c r="S318" s="13" t="s">
        <v>825</v>
      </c>
      <c r="T318" s="13" t="s">
        <v>26</v>
      </c>
      <c r="U318" s="13" t="s">
        <v>64</v>
      </c>
      <c r="V318" s="13">
        <v>4</v>
      </c>
    </row>
    <row r="319" spans="1:22">
      <c r="A319" s="3">
        <v>317</v>
      </c>
      <c r="B319" s="4">
        <v>190307</v>
      </c>
      <c r="C319" s="4" t="s">
        <v>907</v>
      </c>
      <c r="D319" s="5">
        <v>121.596678695533</v>
      </c>
      <c r="E319" s="5">
        <v>31.231850821013</v>
      </c>
      <c r="F319" s="6">
        <v>121.596597</v>
      </c>
      <c r="G319" s="6">
        <v>31.232128</v>
      </c>
      <c r="H319" s="7">
        <v>121.596749</v>
      </c>
      <c r="I319" s="7">
        <v>31.231666</v>
      </c>
      <c r="J319" s="14">
        <v>0.8</v>
      </c>
      <c r="K319" s="14">
        <v>120</v>
      </c>
      <c r="L319" s="15">
        <f t="shared" si="12"/>
        <v>1</v>
      </c>
      <c r="M319" s="15">
        <f t="shared" si="13"/>
        <v>1</v>
      </c>
      <c r="N319" s="14">
        <v>30</v>
      </c>
      <c r="O319" s="14">
        <v>120</v>
      </c>
      <c r="P319" s="13" t="s">
        <v>908</v>
      </c>
      <c r="Q319" s="13" t="s">
        <v>487</v>
      </c>
      <c r="R319" s="13" t="s">
        <v>909</v>
      </c>
      <c r="S319" s="13" t="s">
        <v>909</v>
      </c>
      <c r="T319" s="13" t="s">
        <v>26</v>
      </c>
      <c r="U319" s="13" t="s">
        <v>37</v>
      </c>
      <c r="V319" s="13">
        <v>2</v>
      </c>
    </row>
    <row r="320" spans="1:22">
      <c r="A320" s="3">
        <v>318</v>
      </c>
      <c r="B320" s="4">
        <v>190307</v>
      </c>
      <c r="C320" s="4" t="s">
        <v>910</v>
      </c>
      <c r="D320" s="5">
        <v>121.584533159507</v>
      </c>
      <c r="E320" s="5">
        <v>31.2930028144847</v>
      </c>
      <c r="F320" s="6">
        <v>121.584539</v>
      </c>
      <c r="G320" s="6">
        <v>31.293694</v>
      </c>
      <c r="H320" s="7">
        <v>121.584543</v>
      </c>
      <c r="I320" s="7">
        <v>31.292456</v>
      </c>
      <c r="J320" s="14">
        <v>0.8</v>
      </c>
      <c r="K320" s="14">
        <v>755</v>
      </c>
      <c r="L320" s="15">
        <f t="shared" si="12"/>
        <v>1</v>
      </c>
      <c r="M320" s="15">
        <f t="shared" si="13"/>
        <v>1</v>
      </c>
      <c r="N320" s="14">
        <v>60</v>
      </c>
      <c r="O320" s="14">
        <v>140</v>
      </c>
      <c r="P320" s="13" t="s">
        <v>911</v>
      </c>
      <c r="Q320" s="13" t="s">
        <v>487</v>
      </c>
      <c r="R320" s="13" t="s">
        <v>910</v>
      </c>
      <c r="S320" s="13" t="s">
        <v>912</v>
      </c>
      <c r="T320" s="13" t="s">
        <v>505</v>
      </c>
      <c r="U320" s="13" t="s">
        <v>64</v>
      </c>
      <c r="V320" s="13">
        <v>4</v>
      </c>
    </row>
    <row r="321" spans="1:22">
      <c r="A321" s="3">
        <v>319</v>
      </c>
      <c r="B321" s="4">
        <v>190307</v>
      </c>
      <c r="C321" s="4" t="s">
        <v>913</v>
      </c>
      <c r="D321" s="5">
        <v>121.61217361191</v>
      </c>
      <c r="E321" s="5">
        <v>31.2351882157381</v>
      </c>
      <c r="F321" s="6">
        <v>121.612143</v>
      </c>
      <c r="G321" s="6">
        <v>31.235486</v>
      </c>
      <c r="H321" s="7">
        <v>121.612208</v>
      </c>
      <c r="I321" s="7">
        <v>31.234902</v>
      </c>
      <c r="J321" s="14">
        <v>0.8</v>
      </c>
      <c r="K321" s="14">
        <v>150</v>
      </c>
      <c r="L321" s="15">
        <f t="shared" si="12"/>
        <v>1</v>
      </c>
      <c r="M321" s="15">
        <f t="shared" si="13"/>
        <v>1</v>
      </c>
      <c r="N321" s="14">
        <v>60</v>
      </c>
      <c r="O321" s="14">
        <v>140</v>
      </c>
      <c r="P321" s="13" t="s">
        <v>914</v>
      </c>
      <c r="Q321" s="13" t="s">
        <v>487</v>
      </c>
      <c r="R321" s="13" t="s">
        <v>915</v>
      </c>
      <c r="S321" s="13" t="s">
        <v>915</v>
      </c>
      <c r="T321" s="13" t="s">
        <v>26</v>
      </c>
      <c r="U321" s="13" t="s">
        <v>64</v>
      </c>
      <c r="V321" s="13">
        <v>4</v>
      </c>
    </row>
    <row r="322" spans="1:22">
      <c r="A322" s="3">
        <v>320</v>
      </c>
      <c r="B322" s="4">
        <v>190306</v>
      </c>
      <c r="C322" s="4" t="s">
        <v>916</v>
      </c>
      <c r="D322" s="5">
        <v>121.628407890477</v>
      </c>
      <c r="E322" s="5">
        <v>31.1883609037563</v>
      </c>
      <c r="F322" s="6">
        <v>121.628527</v>
      </c>
      <c r="G322" s="6">
        <v>31.185647</v>
      </c>
      <c r="H322" s="7">
        <v>121.629349</v>
      </c>
      <c r="I322" s="7">
        <v>31.19135</v>
      </c>
      <c r="J322" s="14">
        <v>0.8</v>
      </c>
      <c r="K322" s="14">
        <v>680</v>
      </c>
      <c r="L322" s="15">
        <f t="shared" si="12"/>
        <v>1</v>
      </c>
      <c r="M322" s="15">
        <f t="shared" si="13"/>
        <v>1</v>
      </c>
      <c r="N322" s="14">
        <v>80</v>
      </c>
      <c r="O322" s="14">
        <v>160</v>
      </c>
      <c r="P322" s="13" t="s">
        <v>917</v>
      </c>
      <c r="Q322" s="13" t="s">
        <v>487</v>
      </c>
      <c r="R322" s="13" t="s">
        <v>916</v>
      </c>
      <c r="S322" s="13" t="s">
        <v>127</v>
      </c>
      <c r="T322" s="13" t="s">
        <v>95</v>
      </c>
      <c r="U322" s="13" t="s">
        <v>31</v>
      </c>
      <c r="V322" s="13">
        <v>4</v>
      </c>
    </row>
    <row r="323" spans="1:22">
      <c r="A323" s="3">
        <v>321</v>
      </c>
      <c r="B323" s="4">
        <v>190307</v>
      </c>
      <c r="C323" s="4" t="s">
        <v>918</v>
      </c>
      <c r="D323" s="5">
        <v>121.588767726745</v>
      </c>
      <c r="E323" s="5">
        <v>31.3510601663999</v>
      </c>
      <c r="F323" s="6">
        <v>121.588791</v>
      </c>
      <c r="G323" s="6">
        <v>31.350986</v>
      </c>
      <c r="H323" s="7">
        <v>121.588918</v>
      </c>
      <c r="I323" s="7">
        <v>31.350556</v>
      </c>
      <c r="J323" s="14">
        <v>0.8</v>
      </c>
      <c r="K323" s="14">
        <v>1246</v>
      </c>
      <c r="L323" s="15">
        <f t="shared" si="12"/>
        <v>1</v>
      </c>
      <c r="M323" s="15">
        <f t="shared" si="13"/>
        <v>1</v>
      </c>
      <c r="N323" s="14">
        <v>30</v>
      </c>
      <c r="O323" s="14">
        <v>120</v>
      </c>
      <c r="P323" s="13" t="s">
        <v>919</v>
      </c>
      <c r="Q323" s="13" t="s">
        <v>487</v>
      </c>
      <c r="R323" s="13" t="s">
        <v>920</v>
      </c>
      <c r="S323" s="13" t="s">
        <v>920</v>
      </c>
      <c r="T323" s="13" t="s">
        <v>26</v>
      </c>
      <c r="U323" s="13" t="s">
        <v>37</v>
      </c>
      <c r="V323" s="13">
        <v>2</v>
      </c>
    </row>
    <row r="324" spans="1:22">
      <c r="A324" s="3">
        <v>322</v>
      </c>
      <c r="B324" s="4">
        <v>190307</v>
      </c>
      <c r="C324" s="4" t="s">
        <v>921</v>
      </c>
      <c r="D324" s="5">
        <v>121.590121992971</v>
      </c>
      <c r="E324" s="5">
        <v>31.351331177488</v>
      </c>
      <c r="F324" s="6">
        <v>121.590249</v>
      </c>
      <c r="G324" s="6">
        <v>31.351153</v>
      </c>
      <c r="H324" s="7">
        <v>121.590109</v>
      </c>
      <c r="I324" s="7">
        <v>31.351488</v>
      </c>
      <c r="J324" s="14">
        <v>0.8</v>
      </c>
      <c r="K324" s="14">
        <v>1240</v>
      </c>
      <c r="L324" s="15">
        <f t="shared" si="12"/>
        <v>1</v>
      </c>
      <c r="M324" s="15">
        <f t="shared" si="13"/>
        <v>1</v>
      </c>
      <c r="N324" s="14">
        <v>30</v>
      </c>
      <c r="O324" s="14">
        <v>120</v>
      </c>
      <c r="P324" s="13" t="s">
        <v>922</v>
      </c>
      <c r="Q324" s="13" t="s">
        <v>487</v>
      </c>
      <c r="R324" s="13" t="s">
        <v>923</v>
      </c>
      <c r="S324" s="13" t="s">
        <v>923</v>
      </c>
      <c r="T324" s="13" t="s">
        <v>26</v>
      </c>
      <c r="U324" s="13" t="s">
        <v>37</v>
      </c>
      <c r="V324" s="13">
        <v>2</v>
      </c>
    </row>
    <row r="325" spans="1:22">
      <c r="A325" s="3">
        <v>323</v>
      </c>
      <c r="B325" s="4">
        <v>190307</v>
      </c>
      <c r="C325" s="4" t="s">
        <v>924</v>
      </c>
      <c r="D325" s="5">
        <v>121.639362289523</v>
      </c>
      <c r="E325" s="5">
        <v>31.1887792303287</v>
      </c>
      <c r="F325" s="6">
        <v>121.639308</v>
      </c>
      <c r="G325" s="6">
        <v>31.188889</v>
      </c>
      <c r="H325" s="7">
        <v>121.64007</v>
      </c>
      <c r="I325" s="7">
        <v>31.188911</v>
      </c>
      <c r="J325" s="14">
        <v>0.8</v>
      </c>
      <c r="K325" s="14">
        <v>925</v>
      </c>
      <c r="L325" s="15">
        <f t="shared" si="12"/>
        <v>1</v>
      </c>
      <c r="M325" s="15">
        <f t="shared" si="13"/>
        <v>1</v>
      </c>
      <c r="N325" s="14">
        <v>30</v>
      </c>
      <c r="O325" s="14">
        <v>120</v>
      </c>
      <c r="P325" s="13" t="s">
        <v>925</v>
      </c>
      <c r="Q325" s="13" t="s">
        <v>487</v>
      </c>
      <c r="R325" s="13" t="s">
        <v>924</v>
      </c>
      <c r="S325" s="13" t="s">
        <v>926</v>
      </c>
      <c r="T325" s="13" t="s">
        <v>26</v>
      </c>
      <c r="U325" s="13" t="s">
        <v>37</v>
      </c>
      <c r="V325" s="13">
        <v>2</v>
      </c>
    </row>
    <row r="326" spans="1:22">
      <c r="A326" s="3">
        <v>324</v>
      </c>
      <c r="B326" s="4">
        <v>190306</v>
      </c>
      <c r="C326" s="4" t="s">
        <v>927</v>
      </c>
      <c r="D326" s="5">
        <v>121.610773992909</v>
      </c>
      <c r="E326" s="5">
        <v>31.3093469410927</v>
      </c>
      <c r="F326" s="6">
        <v>121.606791</v>
      </c>
      <c r="G326" s="6">
        <v>31.309584</v>
      </c>
      <c r="H326" s="7">
        <v>121.61501</v>
      </c>
      <c r="I326" s="7">
        <v>31.309476</v>
      </c>
      <c r="J326" s="14">
        <v>0.8</v>
      </c>
      <c r="K326" s="14">
        <v>349</v>
      </c>
      <c r="L326" s="15">
        <f t="shared" si="12"/>
        <v>1</v>
      </c>
      <c r="M326" s="15">
        <f t="shared" si="13"/>
        <v>1</v>
      </c>
      <c r="N326" s="14">
        <v>80</v>
      </c>
      <c r="O326" s="14">
        <v>160</v>
      </c>
      <c r="P326" s="13" t="s">
        <v>928</v>
      </c>
      <c r="Q326" s="13" t="s">
        <v>487</v>
      </c>
      <c r="R326" s="13" t="s">
        <v>927</v>
      </c>
      <c r="S326" s="13" t="s">
        <v>929</v>
      </c>
      <c r="T326" s="13" t="s">
        <v>95</v>
      </c>
      <c r="U326" s="13" t="s">
        <v>31</v>
      </c>
      <c r="V326" s="13">
        <v>4</v>
      </c>
    </row>
    <row r="327" spans="1:22">
      <c r="A327" s="3">
        <v>325</v>
      </c>
      <c r="B327" s="4">
        <v>190307</v>
      </c>
      <c r="C327" s="4" t="s">
        <v>930</v>
      </c>
      <c r="D327" s="5">
        <v>121.638109173564</v>
      </c>
      <c r="E327" s="5">
        <v>31.2319913010664</v>
      </c>
      <c r="F327" s="6">
        <v>121.638041</v>
      </c>
      <c r="G327" s="6">
        <v>31.23201</v>
      </c>
      <c r="H327" s="7">
        <v>121.638057</v>
      </c>
      <c r="I327" s="7">
        <v>31.231569</v>
      </c>
      <c r="J327" s="14">
        <v>0.8</v>
      </c>
      <c r="K327" s="14">
        <v>212</v>
      </c>
      <c r="L327" s="15">
        <f t="shared" si="12"/>
        <v>1</v>
      </c>
      <c r="M327" s="15">
        <f t="shared" si="13"/>
        <v>1</v>
      </c>
      <c r="N327" s="14">
        <v>50</v>
      </c>
      <c r="O327" s="14">
        <v>120</v>
      </c>
      <c r="P327" s="13" t="s">
        <v>931</v>
      </c>
      <c r="Q327" s="13" t="s">
        <v>487</v>
      </c>
      <c r="R327" s="13" t="s">
        <v>932</v>
      </c>
      <c r="S327" s="13" t="s">
        <v>932</v>
      </c>
      <c r="T327" s="13" t="s">
        <v>26</v>
      </c>
      <c r="U327" s="13" t="s">
        <v>27</v>
      </c>
      <c r="V327" s="13">
        <v>2</v>
      </c>
    </row>
    <row r="328" spans="1:22">
      <c r="A328" s="3">
        <v>326</v>
      </c>
      <c r="B328" s="4">
        <v>190307</v>
      </c>
      <c r="C328" s="4" t="s">
        <v>933</v>
      </c>
      <c r="D328" s="5">
        <v>121.617136710158</v>
      </c>
      <c r="E328" s="5">
        <v>31.3397413571438</v>
      </c>
      <c r="F328" s="6">
        <v>121.61694</v>
      </c>
      <c r="G328" s="6">
        <v>31.339519</v>
      </c>
      <c r="H328" s="7">
        <v>121.617419</v>
      </c>
      <c r="I328" s="7">
        <v>31.340007</v>
      </c>
      <c r="J328" s="14">
        <v>0.8</v>
      </c>
      <c r="K328" s="14">
        <v>444</v>
      </c>
      <c r="L328" s="15">
        <f t="shared" si="12"/>
        <v>1</v>
      </c>
      <c r="M328" s="15">
        <f t="shared" si="13"/>
        <v>1</v>
      </c>
      <c r="N328" s="14">
        <v>60</v>
      </c>
      <c r="O328" s="14">
        <v>140</v>
      </c>
      <c r="P328" s="13" t="s">
        <v>934</v>
      </c>
      <c r="Q328" s="13" t="s">
        <v>487</v>
      </c>
      <c r="R328" s="13" t="s">
        <v>935</v>
      </c>
      <c r="S328" s="13" t="s">
        <v>935</v>
      </c>
      <c r="T328" s="13" t="s">
        <v>26</v>
      </c>
      <c r="U328" s="13" t="s">
        <v>64</v>
      </c>
      <c r="V328" s="13">
        <v>4</v>
      </c>
    </row>
    <row r="329" spans="1:22">
      <c r="A329" s="3">
        <v>327</v>
      </c>
      <c r="B329" s="4">
        <v>190307</v>
      </c>
      <c r="C329" s="4" t="s">
        <v>936</v>
      </c>
      <c r="D329" s="5">
        <v>121.631902868073</v>
      </c>
      <c r="E329" s="5">
        <v>31.2952812694921</v>
      </c>
      <c r="F329" s="6">
        <v>121.631918</v>
      </c>
      <c r="G329" s="6">
        <v>31.294843</v>
      </c>
      <c r="H329" s="7">
        <v>121.631922</v>
      </c>
      <c r="I329" s="7">
        <v>31.29565</v>
      </c>
      <c r="J329" s="14">
        <v>0.8</v>
      </c>
      <c r="K329" s="14">
        <v>350</v>
      </c>
      <c r="L329" s="15">
        <f t="shared" si="12"/>
        <v>1</v>
      </c>
      <c r="M329" s="15">
        <f t="shared" si="13"/>
        <v>1</v>
      </c>
      <c r="N329" s="14">
        <v>60</v>
      </c>
      <c r="O329" s="14">
        <v>140</v>
      </c>
      <c r="P329" s="13" t="s">
        <v>937</v>
      </c>
      <c r="Q329" s="13" t="s">
        <v>487</v>
      </c>
      <c r="R329" s="13" t="s">
        <v>938</v>
      </c>
      <c r="S329" s="13" t="s">
        <v>938</v>
      </c>
      <c r="T329" s="13" t="s">
        <v>26</v>
      </c>
      <c r="U329" s="13" t="s">
        <v>64</v>
      </c>
      <c r="V329" s="13">
        <v>4</v>
      </c>
    </row>
    <row r="330" spans="1:22">
      <c r="A330" s="3">
        <v>328</v>
      </c>
      <c r="B330" s="4">
        <v>190306</v>
      </c>
      <c r="C330" s="4" t="s">
        <v>939</v>
      </c>
      <c r="D330" s="5">
        <v>121.650282126715</v>
      </c>
      <c r="E330" s="5">
        <v>31.2318282500196</v>
      </c>
      <c r="F330" s="6">
        <v>121.646631</v>
      </c>
      <c r="G330" s="6">
        <v>31.231127</v>
      </c>
      <c r="H330" s="7">
        <v>121.655023</v>
      </c>
      <c r="I330" s="7">
        <v>31.232741</v>
      </c>
      <c r="J330" s="14">
        <v>0.8</v>
      </c>
      <c r="K330" s="14">
        <v>112</v>
      </c>
      <c r="L330" s="15">
        <f t="shared" si="12"/>
        <v>1</v>
      </c>
      <c r="M330" s="15">
        <f t="shared" si="13"/>
        <v>1</v>
      </c>
      <c r="N330" s="14">
        <v>80</v>
      </c>
      <c r="O330" s="14">
        <v>160</v>
      </c>
      <c r="P330" s="13" t="s">
        <v>940</v>
      </c>
      <c r="Q330" s="13" t="s">
        <v>487</v>
      </c>
      <c r="R330" s="13" t="s">
        <v>939</v>
      </c>
      <c r="S330" s="13" t="s">
        <v>939</v>
      </c>
      <c r="T330" s="13" t="s">
        <v>95</v>
      </c>
      <c r="U330" s="13" t="s">
        <v>31</v>
      </c>
      <c r="V330" s="13">
        <v>4</v>
      </c>
    </row>
    <row r="331" spans="1:22">
      <c r="A331" s="3">
        <v>329</v>
      </c>
      <c r="B331" s="4">
        <v>190307</v>
      </c>
      <c r="C331" s="4" t="s">
        <v>941</v>
      </c>
      <c r="D331" s="5">
        <v>121.651985434644</v>
      </c>
      <c r="E331" s="5">
        <v>31.2376197210221</v>
      </c>
      <c r="F331" s="6">
        <v>121.651571</v>
      </c>
      <c r="G331" s="6">
        <v>31.237353</v>
      </c>
      <c r="H331" s="7">
        <v>121.651852</v>
      </c>
      <c r="I331" s="7">
        <v>31.237538</v>
      </c>
      <c r="J331" s="14">
        <v>0.8</v>
      </c>
      <c r="K331" s="14">
        <v>138</v>
      </c>
      <c r="L331" s="15">
        <f t="shared" si="12"/>
        <v>1</v>
      </c>
      <c r="M331" s="15">
        <f t="shared" si="13"/>
        <v>1</v>
      </c>
      <c r="N331" s="14">
        <v>30</v>
      </c>
      <c r="O331" s="14">
        <v>120</v>
      </c>
      <c r="P331" s="13" t="s">
        <v>942</v>
      </c>
      <c r="Q331" s="13" t="s">
        <v>487</v>
      </c>
      <c r="R331" s="13" t="s">
        <v>943</v>
      </c>
      <c r="S331" s="13" t="s">
        <v>943</v>
      </c>
      <c r="T331" s="13" t="s">
        <v>26</v>
      </c>
      <c r="U331" s="13" t="s">
        <v>37</v>
      </c>
      <c r="V331" s="13">
        <v>2</v>
      </c>
    </row>
    <row r="332" spans="1:22">
      <c r="A332" s="3">
        <v>330</v>
      </c>
      <c r="B332" s="4">
        <v>190307</v>
      </c>
      <c r="C332" s="4" t="s">
        <v>944</v>
      </c>
      <c r="D332" s="5">
        <v>121.650578797973</v>
      </c>
      <c r="E332" s="5">
        <v>31.2708009628253</v>
      </c>
      <c r="F332" s="6">
        <v>121.646866</v>
      </c>
      <c r="G332" s="6">
        <v>31.270129</v>
      </c>
      <c r="H332" s="7">
        <v>121.65421</v>
      </c>
      <c r="I332" s="7">
        <v>31.270542</v>
      </c>
      <c r="J332" s="14">
        <v>0.8</v>
      </c>
      <c r="K332" s="14">
        <v>408</v>
      </c>
      <c r="L332" s="15">
        <f t="shared" si="12"/>
        <v>1</v>
      </c>
      <c r="M332" s="15">
        <f t="shared" si="13"/>
        <v>1</v>
      </c>
      <c r="N332" s="14">
        <v>80</v>
      </c>
      <c r="O332" s="14">
        <v>160</v>
      </c>
      <c r="P332" s="13" t="s">
        <v>945</v>
      </c>
      <c r="Q332" s="13" t="s">
        <v>487</v>
      </c>
      <c r="R332" s="13" t="s">
        <v>30</v>
      </c>
      <c r="S332" s="13" t="s">
        <v>30</v>
      </c>
      <c r="T332" s="13" t="s">
        <v>946</v>
      </c>
      <c r="U332" s="13" t="s">
        <v>31</v>
      </c>
      <c r="V332" s="13">
        <v>4</v>
      </c>
    </row>
    <row r="333" spans="1:22">
      <c r="A333" s="3">
        <v>331</v>
      </c>
      <c r="B333" s="4">
        <v>190307</v>
      </c>
      <c r="C333" s="4" t="s">
        <v>947</v>
      </c>
      <c r="D333" s="5">
        <v>121.492347</v>
      </c>
      <c r="E333" s="5">
        <v>31.249705</v>
      </c>
      <c r="F333" s="6">
        <v>121.492408</v>
      </c>
      <c r="G333" s="6">
        <v>31.249321</v>
      </c>
      <c r="H333" s="7">
        <v>121.492292</v>
      </c>
      <c r="I333" s="7">
        <v>31.250053</v>
      </c>
      <c r="J333" s="14">
        <v>0.8</v>
      </c>
      <c r="K333" s="14">
        <v>1140</v>
      </c>
      <c r="L333" s="15">
        <f t="shared" si="12"/>
        <v>1</v>
      </c>
      <c r="M333" s="15">
        <f t="shared" si="13"/>
        <v>1</v>
      </c>
      <c r="N333" s="14">
        <v>30</v>
      </c>
      <c r="O333" s="14">
        <v>120</v>
      </c>
      <c r="P333" s="13"/>
      <c r="Q333" s="13"/>
      <c r="R333" s="13"/>
      <c r="S333" s="13"/>
      <c r="T333" s="13"/>
      <c r="U333" s="13"/>
      <c r="V333" s="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甘有亨</cp:lastModifiedBy>
  <dcterms:created xsi:type="dcterms:W3CDTF">2026-07-05T06:31:00Z</dcterms:created>
  <dcterms:modified xsi:type="dcterms:W3CDTF">2026-08-17T02:01:53Z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22AD6F5B62F1443393B2994D8F535853_13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</Properties>
</file>